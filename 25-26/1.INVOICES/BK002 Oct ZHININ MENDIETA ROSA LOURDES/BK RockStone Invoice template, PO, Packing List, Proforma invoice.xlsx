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K ROCKSTONE PVT LTD\BK Rockstone Invoices\25-26\1.INVOICES\BK002 Oct ZHININ MENDIETA ROSA LOURDES\"/>
    </mc:Choice>
  </mc:AlternateContent>
  <bookViews>
    <workbookView xWindow="0" yWindow="0" windowWidth="20490" windowHeight="7755" activeTab="3"/>
  </bookViews>
  <sheets>
    <sheet name="company data" sheetId="1" r:id="rId1"/>
    <sheet name="input data" sheetId="2" r:id="rId2"/>
    <sheet name="Invoice rockstone" sheetId="6" r:id="rId3"/>
    <sheet name="Peacking List" sheetId="4" r:id="rId4"/>
    <sheet name="PO" sheetId="5" r:id="rId5"/>
    <sheet name="Sheet1" sheetId="7" r:id="rId6"/>
    <sheet name="Sheet2" sheetId="8" r:id="rId7"/>
  </sheets>
  <definedNames>
    <definedName name="_xlnm.Print_Area" localSheetId="4">PO!$A$1:$K$43</definedName>
    <definedName name="_xlnm.Print_Area" localSheetId="5">Sheet1!$A$1:$K$42</definedName>
    <definedName name="_xlnm.Print_Area" localSheetId="6">Sheet2!$A$1:$K$41</definedName>
  </definedNames>
  <calcPr calcId="152511"/>
  <extLst>
    <ext uri="GoogleSheetsCustomDataVersion2">
      <go:sheetsCustomData xmlns:go="http://customooxmlschemas.google.com/" r:id="rId9" roundtripDataChecksum="0UDH6hR5QprJBtfF4YeReHDvc/QhxlqsMNJhY5nbzoU="/>
    </ext>
  </extLst>
</workbook>
</file>

<file path=xl/calcChain.xml><?xml version="1.0" encoding="utf-8"?>
<calcChain xmlns="http://schemas.openxmlformats.org/spreadsheetml/2006/main">
  <c r="B25" i="4" l="1"/>
  <c r="B24" i="4"/>
  <c r="B23" i="4"/>
  <c r="E6" i="6" l="1"/>
  <c r="F29" i="6" l="1"/>
  <c r="I29" i="6" s="1"/>
  <c r="I30" i="6"/>
  <c r="I28" i="6"/>
  <c r="J20" i="7"/>
  <c r="J19" i="7"/>
  <c r="J20" i="5" l="1"/>
  <c r="A19" i="4" l="1"/>
  <c r="A12" i="4"/>
  <c r="G19" i="4"/>
  <c r="G17" i="4"/>
  <c r="I15" i="4"/>
  <c r="D19" i="4"/>
  <c r="D17" i="4"/>
  <c r="D15" i="4"/>
  <c r="A15" i="6"/>
  <c r="A29" i="4" l="1"/>
  <c r="J19" i="8" l="1"/>
  <c r="J20" i="8" s="1"/>
  <c r="J21" i="8" l="1"/>
  <c r="J23" i="8" s="1"/>
  <c r="J21" i="7"/>
  <c r="J23" i="7" l="1"/>
  <c r="B6" i="2" l="1"/>
  <c r="I3" i="4"/>
  <c r="H30" i="6"/>
  <c r="H29" i="6"/>
  <c r="F30" i="6"/>
  <c r="I25" i="4" s="1"/>
  <c r="I24" i="4"/>
  <c r="F28" i="6"/>
  <c r="I23" i="4" s="1"/>
  <c r="H4" i="6"/>
  <c r="C37" i="8" l="1"/>
  <c r="C37" i="7"/>
  <c r="I26" i="4"/>
  <c r="C32" i="6"/>
  <c r="A32" i="6"/>
  <c r="H28" i="6"/>
  <c r="H25" i="6"/>
  <c r="E25" i="6"/>
  <c r="C25" i="6"/>
  <c r="H22" i="6"/>
  <c r="C22" i="6"/>
  <c r="H12" i="6"/>
  <c r="E12" i="6"/>
  <c r="H10" i="6"/>
  <c r="E10" i="6"/>
  <c r="I34" i="6" l="1"/>
  <c r="H6" i="6"/>
  <c r="J19" i="5" l="1"/>
  <c r="J21" i="5" s="1"/>
  <c r="C29" i="4" l="1"/>
  <c r="B3" i="2" l="1"/>
  <c r="E4" i="6" l="1"/>
  <c r="G3" i="4"/>
  <c r="G5" i="4"/>
  <c r="C38" i="5"/>
  <c r="C31" i="4"/>
  <c r="J22" i="5" l="1"/>
  <c r="J24" i="5" s="1"/>
</calcChain>
</file>

<file path=xl/sharedStrings.xml><?xml version="1.0" encoding="utf-8"?>
<sst xmlns="http://schemas.openxmlformats.org/spreadsheetml/2006/main" count="279" uniqueCount="177">
  <si>
    <t>financial year</t>
  </si>
  <si>
    <t>Kind of packing</t>
  </si>
  <si>
    <t>type of container</t>
  </si>
  <si>
    <t>terms of delivery</t>
  </si>
  <si>
    <t>terms of payment</t>
  </si>
  <si>
    <t>FCL</t>
  </si>
  <si>
    <t>FOB</t>
  </si>
  <si>
    <t>Loose packing</t>
  </si>
  <si>
    <t>CIF</t>
  </si>
  <si>
    <t>100 % Advance</t>
  </si>
  <si>
    <t>American Standard</t>
  </si>
  <si>
    <t>CNF</t>
  </si>
  <si>
    <t>70 %  Advance, Remaning Against Document</t>
  </si>
  <si>
    <t>100% Against Documents</t>
  </si>
  <si>
    <t>Financial Year</t>
  </si>
  <si>
    <t>No.</t>
  </si>
  <si>
    <t>Invoice Number</t>
  </si>
  <si>
    <t>Date</t>
  </si>
  <si>
    <t xml:space="preserve">LUT No: </t>
  </si>
  <si>
    <t>Party Name</t>
  </si>
  <si>
    <t>number of containers</t>
  </si>
  <si>
    <t>Kind of Packing</t>
  </si>
  <si>
    <t>Type of container</t>
  </si>
  <si>
    <t>Terms of delivery</t>
  </si>
  <si>
    <t>Terms of payment</t>
  </si>
  <si>
    <t>Place Of Receipt By Pre-Carrier</t>
  </si>
  <si>
    <t>Port Of Loading</t>
  </si>
  <si>
    <t xml:space="preserve">Port Of Discharge </t>
  </si>
  <si>
    <t xml:space="preserve">Place Of Delivery </t>
  </si>
  <si>
    <t>Country Of Final Destination</t>
  </si>
  <si>
    <t xml:space="preserve">  Container No.</t>
  </si>
  <si>
    <t>Slabs</t>
  </si>
  <si>
    <t>Rate  Per</t>
  </si>
  <si>
    <t xml:space="preserve">INVOICE </t>
  </si>
  <si>
    <t xml:space="preserve">EXPORTER </t>
  </si>
  <si>
    <t>INVOICE NO.</t>
  </si>
  <si>
    <t>DATE</t>
  </si>
  <si>
    <t>LUT/ARN NO.</t>
  </si>
  <si>
    <t>PAN NO. /IEC CODE</t>
  </si>
  <si>
    <t>GSTIN</t>
  </si>
  <si>
    <t xml:space="preserve">KIND OF PACKING </t>
  </si>
  <si>
    <t>TYPE OF CONTAINER</t>
  </si>
  <si>
    <t>CONSIGNEE</t>
  </si>
  <si>
    <t xml:space="preserve">TERMS OF DELIVERY </t>
  </si>
  <si>
    <t>TERMS OF PAYMENT</t>
  </si>
  <si>
    <t>NOTIFY PARTY</t>
  </si>
  <si>
    <t>Per Carriage By</t>
  </si>
  <si>
    <t xml:space="preserve">Country Of Origin Of Goods </t>
  </si>
  <si>
    <t>By Road Truck No.</t>
  </si>
  <si>
    <t>INDIA</t>
  </si>
  <si>
    <t>Vessel/ Flight No.</t>
  </si>
  <si>
    <t>Sr. No.</t>
  </si>
  <si>
    <t xml:space="preserve">Description Of Goods </t>
  </si>
  <si>
    <t>Quantity in</t>
  </si>
  <si>
    <t xml:space="preserve">TOTAL AMOUNT </t>
  </si>
  <si>
    <t>SQM</t>
  </si>
  <si>
    <t>(IN USD)</t>
  </si>
  <si>
    <t>Gross Weight</t>
  </si>
  <si>
    <t>Net Weight</t>
  </si>
  <si>
    <t>27500 kgs</t>
  </si>
  <si>
    <t>Amount in Words:</t>
  </si>
  <si>
    <t>Declaration</t>
  </si>
  <si>
    <r>
      <rPr>
        <sz val="11"/>
        <color theme="1"/>
        <rFont val="Calibri"/>
        <family val="2"/>
      </rPr>
      <t>*</t>
    </r>
    <r>
      <rPr>
        <sz val="9"/>
        <color theme="1"/>
        <rFont val="Calibri"/>
        <family val="2"/>
      </rPr>
      <t xml:space="preserve"> We declare that invoice shows the actual price of the  goods described and that all particulars are true and correct.</t>
    </r>
  </si>
  <si>
    <t xml:space="preserve">*  Thickness Variation will be -/+1mm.
</t>
  </si>
  <si>
    <t xml:space="preserve">Authorised Signatory </t>
  </si>
  <si>
    <t>PACKING LIST</t>
  </si>
  <si>
    <t>EXPORTER</t>
  </si>
  <si>
    <t>OTHER REFERENCE(S)</t>
  </si>
  <si>
    <t>Country of Origin of Goods</t>
  </si>
  <si>
    <t>Country of Final Destination</t>
  </si>
  <si>
    <t xml:space="preserve">Pre-Carriage by </t>
  </si>
  <si>
    <t>Place of Receipt by Pre-carrier</t>
  </si>
  <si>
    <t>Vessel/Flight No.</t>
  </si>
  <si>
    <t xml:space="preserve">Port Of Loading </t>
  </si>
  <si>
    <t>Terms of Payment</t>
  </si>
  <si>
    <t>TOTAL</t>
  </si>
  <si>
    <t>Container No.</t>
  </si>
  <si>
    <t>27500kgs</t>
  </si>
  <si>
    <t xml:space="preserve">PACKING TYPE : </t>
  </si>
  <si>
    <t>QUANTITY  : 1X20 FT CONTAINER</t>
  </si>
  <si>
    <t xml:space="preserve">DECLARATION </t>
  </si>
  <si>
    <t>*   Zero rated export under LUT.</t>
  </si>
  <si>
    <t xml:space="preserve">Authorised Signature </t>
  </si>
  <si>
    <t>DATE:</t>
  </si>
  <si>
    <t>REF. NO.</t>
  </si>
  <si>
    <t>TO,</t>
  </si>
  <si>
    <t>Dear Sir/ Madam,</t>
  </si>
  <si>
    <t>Description</t>
  </si>
  <si>
    <t xml:space="preserve">RATES </t>
  </si>
  <si>
    <t>AMOUNT</t>
  </si>
  <si>
    <t>GRAND TOTAL</t>
  </si>
  <si>
    <t xml:space="preserve">OTHER DETAILS </t>
  </si>
  <si>
    <t>Packing</t>
  </si>
  <si>
    <t>Port of Delivery</t>
  </si>
  <si>
    <t xml:space="preserve">Port of Loading </t>
  </si>
  <si>
    <t xml:space="preserve">Country of Destination </t>
  </si>
  <si>
    <t xml:space="preserve">Weight </t>
  </si>
  <si>
    <t xml:space="preserve">Invoice Address: </t>
  </si>
  <si>
    <t xml:space="preserve">LUT NO: </t>
  </si>
  <si>
    <t>25-26</t>
  </si>
  <si>
    <t>LC at Sight</t>
  </si>
  <si>
    <t>24AANCB5070H1ZO</t>
  </si>
  <si>
    <t>AANCB5070H</t>
  </si>
  <si>
    <t>BK ROCKSTONE PRIVATE LIMITED</t>
  </si>
  <si>
    <t>For BK ROCKSTONE PRIVATE LIMITED</t>
  </si>
  <si>
    <t>Director</t>
  </si>
  <si>
    <t>PROFORMA INVOICE</t>
  </si>
  <si>
    <t>IE CODE  : AANCB5070H</t>
  </si>
  <si>
    <t>CHENNAI</t>
  </si>
  <si>
    <t>TOTAL SLABS</t>
  </si>
  <si>
    <t>Quantity 1</t>
  </si>
  <si>
    <t>Poduct Name 1</t>
  </si>
  <si>
    <t xml:space="preserve"> Container No.</t>
  </si>
  <si>
    <t>Rate  quantity 1</t>
  </si>
  <si>
    <t>Poduct Name 2</t>
  </si>
  <si>
    <t>Quantity 2</t>
  </si>
  <si>
    <t>Rate  quantity 2</t>
  </si>
  <si>
    <t>Poduct Name 3</t>
  </si>
  <si>
    <t>Quantity 3</t>
  </si>
  <si>
    <t>Rate  quantity 3</t>
  </si>
  <si>
    <t>Proforma Invoice</t>
  </si>
  <si>
    <t xml:space="preserve">90/3, NR. BRAMBHANI ICE FACTORY, NR. RADHIKA SOCIETY, </t>
  </si>
  <si>
    <t xml:space="preserve"> JASHODANAGAR CANAL ROAD, CTM CHAR RASTA, AHMEDABAD, AHMEDABAD, GUJARAT, 380026.</t>
  </si>
  <si>
    <t>info@bkrockstone.com, www.bkrockstone.com , +91-9313035076, +91-926580144</t>
  </si>
  <si>
    <t>JASHODANAGAR CANAL ROAD, CTM CHAR RASTA, GUJARAT, 380026.</t>
  </si>
  <si>
    <t>IEC NO.    AANCB5070H</t>
  </si>
  <si>
    <t>GSTIN NO.  24AANCB5070H1ZO</t>
  </si>
  <si>
    <t>PAN NO. : AANCB5070H</t>
  </si>
  <si>
    <t>SQ FOOT</t>
  </si>
  <si>
    <t>Delivery Time</t>
  </si>
  <si>
    <t>PURCHASE ORDER</t>
  </si>
  <si>
    <t>Polised Granite slabs</t>
  </si>
  <si>
    <t>GST 0.1%</t>
  </si>
  <si>
    <t>LOOSE</t>
  </si>
  <si>
    <t xml:space="preserve"> 17 September 2025</t>
  </si>
  <si>
    <t xml:space="preserve">Polised Granite slabs </t>
  </si>
  <si>
    <t xml:space="preserve"> PO01.3/25-26</t>
  </si>
  <si>
    <t>SRI VENKATESWARA EXPORTS</t>
  </si>
  <si>
    <t>SY NO:88/3C1,BUDAWADA(VIL),.        
CHIMAKURTHY(M.D),PRAKASAM(DIST),.                                    GSTIN:37ABYPL5026E2ZC</t>
  </si>
  <si>
    <t>Polished Granite Slabs</t>
  </si>
  <si>
    <t xml:space="preserve">30 % Advance, Remaning Against Document within 7 </t>
  </si>
  <si>
    <t>30% Advance and Remaining Against BL within 7 days</t>
  </si>
  <si>
    <t>Wooden Crate Packing</t>
  </si>
  <si>
    <t>ACCOUNT NAME :  BK ROCKSTONE PVT LTD</t>
  </si>
  <si>
    <t>BANK NAME : BANK OF BARODA</t>
  </si>
  <si>
    <t>ACCOUNT NUMBER :  14970200000778</t>
  </si>
  <si>
    <t>SWIFT CODE : BARBINBBVAT</t>
  </si>
  <si>
    <t>IFSC CODE :  BARBOMANEAS (fifth digit zero)</t>
  </si>
  <si>
    <t>BRANCH : MANINAGAR (EAST)</t>
  </si>
  <si>
    <t>DAPSE EXPRESS INTERNATIONAL LOGISTICS AND TRADE 
RUC 172011272001
operaciones@dapseexpress.com
Teléfono: 0987681580
QUITO-ECUADOR</t>
  </si>
  <si>
    <t>Bank Details</t>
  </si>
  <si>
    <t>02</t>
  </si>
  <si>
    <t xml:space="preserve">90/3, NR. BRAMBHANI ICE FACTORY, NR. RADHIKA SOCIETY,  JASHODANAGAR CANAL ROAD, CTM CHAR RASTA, AHMEDABAD, AHMEDABAD, GUJARAT, 380026.
Email: info@bkrockstone.com
Website: www.bkrockstone.com
GST: 24AANCB5070H1ZO
Contact No: +919537651265, +91926580144
</t>
  </si>
  <si>
    <t>*  We declare that this invoice shows the actual price of the goods described and that all particulars are true and correct.</t>
  </si>
  <si>
    <t>Terms of Delivery</t>
  </si>
  <si>
    <t>MUNDRA</t>
  </si>
  <si>
    <t>GUAYAQUIL</t>
  </si>
  <si>
    <t>ECUADOR</t>
  </si>
  <si>
    <t>MSDU1249256</t>
  </si>
  <si>
    <t xml:space="preserve"> PO02.1/25-26</t>
  </si>
  <si>
    <t xml:space="preserve"> 7 HILLS GRANIMARMO PRIVATE LIMITED</t>
  </si>
  <si>
    <t>KHASRA NO 884/9, PLOT NO 44,45, VILLAGE-RALAWATA,
 TEHSIL-KISHANGARH, Ajmer, Rajasthan, 305801
 GST: 08AABCZ7282R1ZB</t>
  </si>
  <si>
    <t>WOODEN CRATE PACKING</t>
  </si>
  <si>
    <t xml:space="preserve"> PO02.2/25-26</t>
  </si>
  <si>
    <t>GST 18%</t>
  </si>
  <si>
    <t xml:space="preserve"> PARV GRANITES</t>
  </si>
  <si>
    <t>PRATAPPURA, BADGAON , UDAIPUR (313001)
 RAJASTHAN, INDIA . +91 9461402354
 GST Number :  08BEYPB0212C1ZZ
 PARVGRANITES@GMAIL.COM</t>
  </si>
  <si>
    <t>90/3, NR. BRAMBHANI ICE FACTORY, NR. RADHIKA SOCIETY,  JASHODANAGAR CANAL ROAD, CTM CHAR RASTA, AHMEDABAD, AHMEDABAD, GUJARAT, 380026.
Website: www.bkrockstone.com
Email: info@bkrockstone.com
Contact No: +919537651265, +919265280144</t>
  </si>
  <si>
    <t>Eight Thousand Seven Hundred Twenty Dollars and Ninety Five Cents</t>
  </si>
  <si>
    <t>ZHIÑIN MENDIETA ROSA LOURDES
RUC: 0105370399001
DIRECCIÓN: Barrio: HUISHIL ALTO Calle: 1 DE SEPTIEMBRE
Número: S/N Intersección: BUENA ESPERANZA
Referencia: DIAGONAL A LA HOSTERIA CABALLO CAMPANA
Cuenca - Ecuador</t>
  </si>
  <si>
    <t>PI1908/25-26</t>
  </si>
  <si>
    <t>27000 kgs</t>
  </si>
  <si>
    <t>27000kgs</t>
  </si>
  <si>
    <t>Description Of Goods</t>
  </si>
  <si>
    <t>Black Forest Granite Slabs (Polished)
Size: 2.50 Length X 0.70 Height, Thickness : 18 mm</t>
  </si>
  <si>
    <t>P White Granite Slabs (Polished)
Size: 2.50 Length X 0.70 Height, Thickness : 18 mm</t>
  </si>
  <si>
    <t>Alaska White Granite Slabs (Polished)
Size: 2.50 Length X 0.70 Height, Thickness : 18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</si>
</sst>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&quot; / &quot;"/>
    <numFmt numFmtId="165" formatCode="d/m/yyyy"/>
    <numFmt numFmtId="166" formatCode="_-[$$-409]* #,##0.00_ ;_-[$$-409]* \-#,##0.00\ ;_-[$$-409]* &quot;-&quot;??_ ;_-@_ "/>
    <numFmt numFmtId="167" formatCode="[$-F800]dddd\,\ mmmm\ dd\,\ yyyy"/>
    <numFmt numFmtId="168" formatCode="[$-14009]dd/mm/yyyy;@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sz val="11"/>
      <color rgb="FF252525"/>
      <name val="Calibri"/>
      <family val="2"/>
    </font>
    <font>
      <b/>
      <sz val="9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u/>
      <sz val="11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b/>
      <sz val="28"/>
      <color rgb="FF00B0F0"/>
      <name val="Calibri"/>
      <family val="2"/>
    </font>
    <font>
      <b/>
      <u/>
      <sz val="14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8">
    <xf numFmtId="0" fontId="0" fillId="0" borderId="0" xfId="0" applyFont="1" applyAlignme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49" fontId="6" fillId="0" borderId="0" xfId="0" applyNumberFormat="1" applyFont="1" applyAlignment="1">
      <alignment horizontal="left"/>
    </xf>
    <xf numFmtId="164" fontId="6" fillId="0" borderId="0" xfId="0" applyNumberFormat="1" applyFont="1" applyAlignment="1">
      <alignment horizontal="left"/>
    </xf>
    <xf numFmtId="165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wrapText="1"/>
    </xf>
    <xf numFmtId="165" fontId="6" fillId="0" borderId="0" xfId="0" applyNumberFormat="1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6" fillId="0" borderId="8" xfId="0" applyFont="1" applyBorder="1"/>
    <xf numFmtId="0" fontId="6" fillId="0" borderId="7" xfId="0" applyFont="1" applyBorder="1"/>
    <xf numFmtId="0" fontId="6" fillId="0" borderId="1" xfId="0" applyFont="1" applyBorder="1"/>
    <xf numFmtId="0" fontId="6" fillId="0" borderId="2" xfId="0" applyFont="1" applyBorder="1"/>
    <xf numFmtId="0" fontId="4" fillId="0" borderId="5" xfId="0" applyFont="1" applyBorder="1"/>
    <xf numFmtId="0" fontId="15" fillId="0" borderId="5" xfId="0" applyFont="1" applyBorder="1"/>
    <xf numFmtId="0" fontId="15" fillId="0" borderId="0" xfId="0" applyFont="1"/>
    <xf numFmtId="0" fontId="6" fillId="0" borderId="10" xfId="0" applyFont="1" applyBorder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 applyAlignment="1">
      <alignment horizontal="left" vertical="top" wrapText="1"/>
    </xf>
    <xf numFmtId="0" fontId="6" fillId="0" borderId="25" xfId="0" applyFont="1" applyBorder="1"/>
    <xf numFmtId="0" fontId="1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165" fontId="15" fillId="0" borderId="0" xfId="0" applyNumberFormat="1" applyFont="1"/>
    <xf numFmtId="0" fontId="3" fillId="0" borderId="0" xfId="0" applyFont="1"/>
    <xf numFmtId="0" fontId="0" fillId="0" borderId="0" xfId="0" applyFont="1" applyAlignment="1"/>
    <xf numFmtId="167" fontId="6" fillId="0" borderId="0" xfId="0" applyNumberFormat="1" applyFont="1" applyAlignment="1">
      <alignment horizontal="left"/>
    </xf>
    <xf numFmtId="0" fontId="2" fillId="0" borderId="0" xfId="0" applyFont="1" applyAlignment="1"/>
    <xf numFmtId="0" fontId="6" fillId="0" borderId="15" xfId="0" applyFont="1" applyBorder="1"/>
    <xf numFmtId="0" fontId="6" fillId="0" borderId="18" xfId="0" applyFont="1" applyBorder="1"/>
    <xf numFmtId="0" fontId="6" fillId="0" borderId="16" xfId="0" applyFont="1" applyBorder="1"/>
    <xf numFmtId="0" fontId="0" fillId="0" borderId="0" xfId="0" applyFont="1" applyAlignment="1"/>
    <xf numFmtId="0" fontId="4" fillId="0" borderId="34" xfId="0" applyFont="1" applyBorder="1"/>
    <xf numFmtId="0" fontId="6" fillId="0" borderId="41" xfId="0" applyFont="1" applyBorder="1"/>
    <xf numFmtId="0" fontId="6" fillId="0" borderId="44" xfId="0" applyFont="1" applyBorder="1"/>
    <xf numFmtId="0" fontId="6" fillId="0" borderId="32" xfId="0" applyFont="1" applyBorder="1"/>
    <xf numFmtId="0" fontId="6" fillId="0" borderId="33" xfId="0" applyFont="1" applyBorder="1"/>
    <xf numFmtId="0" fontId="6" fillId="0" borderId="14" xfId="0" applyFont="1" applyBorder="1"/>
    <xf numFmtId="0" fontId="6" fillId="0" borderId="35" xfId="0" applyFont="1" applyBorder="1"/>
    <xf numFmtId="0" fontId="0" fillId="0" borderId="0" xfId="0" applyFont="1" applyAlignment="1"/>
    <xf numFmtId="0" fontId="6" fillId="0" borderId="45" xfId="0" applyFont="1" applyBorder="1"/>
    <xf numFmtId="0" fontId="4" fillId="0" borderId="35" xfId="0" applyFont="1" applyBorder="1" applyAlignment="1"/>
    <xf numFmtId="0" fontId="4" fillId="0" borderId="31" xfId="0" applyFont="1" applyBorder="1"/>
    <xf numFmtId="0" fontId="6" fillId="0" borderId="0" xfId="0" applyFont="1" applyAlignment="1">
      <alignment horizontal="left" vertical="top"/>
    </xf>
    <xf numFmtId="0" fontId="0" fillId="0" borderId="0" xfId="0" applyFont="1" applyAlignment="1">
      <alignment vertical="top"/>
    </xf>
    <xf numFmtId="0" fontId="0" fillId="0" borderId="0" xfId="0" applyFont="1" applyAlignment="1"/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  <xf numFmtId="0" fontId="0" fillId="0" borderId="0" xfId="0" applyFont="1" applyAlignment="1"/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  <xf numFmtId="4" fontId="0" fillId="0" borderId="0" xfId="0" applyNumberFormat="1" applyFont="1" applyAlignment="1">
      <alignment vertical="top"/>
    </xf>
    <xf numFmtId="0" fontId="6" fillId="0" borderId="15" xfId="0" applyFont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43" xfId="0" applyFont="1" applyBorder="1"/>
    <xf numFmtId="0" fontId="6" fillId="0" borderId="34" xfId="0" applyFont="1" applyBorder="1"/>
    <xf numFmtId="0" fontId="6" fillId="0" borderId="49" xfId="0" applyFont="1" applyBorder="1" applyAlignment="1">
      <alignment horizontal="center"/>
    </xf>
    <xf numFmtId="0" fontId="6" fillId="0" borderId="50" xfId="0" applyFont="1" applyBorder="1"/>
    <xf numFmtId="0" fontId="1" fillId="0" borderId="0" xfId="0" applyFont="1"/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6" fillId="0" borderId="39" xfId="0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35" xfId="0" applyFont="1" applyBorder="1"/>
    <xf numFmtId="0" fontId="6" fillId="0" borderId="46" xfId="0" applyFont="1" applyBorder="1"/>
    <xf numFmtId="0" fontId="4" fillId="0" borderId="48" xfId="0" applyFont="1" applyBorder="1" applyAlignment="1">
      <alignment horizontal="center"/>
    </xf>
    <xf numFmtId="0" fontId="4" fillId="0" borderId="51" xfId="0" applyFont="1" applyBorder="1"/>
    <xf numFmtId="0" fontId="4" fillId="0" borderId="3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35" xfId="0" applyFont="1" applyBorder="1" applyAlignment="1">
      <alignment horizontal="left"/>
    </xf>
    <xf numFmtId="0" fontId="4" fillId="0" borderId="36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6" fillId="0" borderId="37" xfId="0" applyFont="1" applyBorder="1" applyAlignment="1">
      <alignment horizontal="left"/>
    </xf>
    <xf numFmtId="0" fontId="0" fillId="0" borderId="0" xfId="0" applyFont="1" applyAlignment="1"/>
    <xf numFmtId="0" fontId="0" fillId="0" borderId="15" xfId="0" applyFont="1" applyBorder="1" applyAlignment="1"/>
    <xf numFmtId="165" fontId="6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vertical="top"/>
    </xf>
    <xf numFmtId="0" fontId="4" fillId="3" borderId="15" xfId="0" applyFont="1" applyFill="1" applyBorder="1" applyAlignment="1">
      <alignment vertical="top"/>
    </xf>
    <xf numFmtId="0" fontId="4" fillId="3" borderId="35" xfId="0" applyFont="1" applyFill="1" applyBorder="1" applyAlignment="1">
      <alignment vertical="top"/>
    </xf>
    <xf numFmtId="0" fontId="6" fillId="0" borderId="31" xfId="0" applyFont="1" applyBorder="1"/>
    <xf numFmtId="0" fontId="6" fillId="0" borderId="36" xfId="0" applyFont="1" applyBorder="1"/>
    <xf numFmtId="0" fontId="0" fillId="0" borderId="34" xfId="0" applyFont="1" applyBorder="1" applyAlignment="1"/>
    <xf numFmtId="0" fontId="0" fillId="0" borderId="40" xfId="0" applyFont="1" applyBorder="1" applyAlignment="1"/>
    <xf numFmtId="0" fontId="4" fillId="3" borderId="41" xfId="0" applyFont="1" applyFill="1" applyBorder="1" applyAlignment="1">
      <alignment vertical="top"/>
    </xf>
    <xf numFmtId="0" fontId="0" fillId="0" borderId="41" xfId="0" applyFont="1" applyBorder="1" applyAlignment="1"/>
    <xf numFmtId="0" fontId="4" fillId="3" borderId="45" xfId="0" applyFont="1" applyFill="1" applyBorder="1" applyAlignment="1">
      <alignment vertical="top"/>
    </xf>
    <xf numFmtId="0" fontId="0" fillId="0" borderId="0" xfId="0" applyFont="1" applyAlignment="1">
      <alignment vertical="top"/>
    </xf>
    <xf numFmtId="1" fontId="0" fillId="0" borderId="0" xfId="0" applyNumberFormat="1" applyFont="1" applyAlignment="1">
      <alignment vertical="top"/>
    </xf>
    <xf numFmtId="0" fontId="6" fillId="0" borderId="49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166" fontId="6" fillId="0" borderId="12" xfId="0" applyNumberFormat="1" applyFont="1" applyBorder="1" applyAlignment="1">
      <alignment horizontal="center" vertical="center"/>
    </xf>
    <xf numFmtId="166" fontId="6" fillId="0" borderId="30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0" fillId="0" borderId="0" xfId="0" applyFont="1" applyAlignment="1">
      <alignment vertical="top"/>
    </xf>
    <xf numFmtId="0" fontId="6" fillId="0" borderId="0" xfId="0" applyFont="1" applyAlignment="1">
      <alignment horizontal="left" vertical="top" wrapText="1"/>
    </xf>
    <xf numFmtId="0" fontId="0" fillId="0" borderId="0" xfId="0" applyFont="1" applyAlignment="1"/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52" xfId="0" applyFont="1" applyBorder="1" applyAlignment="1">
      <alignment horizontal="left" vertical="top" wrapText="1"/>
    </xf>
    <xf numFmtId="0" fontId="6" fillId="0" borderId="53" xfId="0" applyFont="1" applyBorder="1" applyAlignment="1">
      <alignment horizontal="left" vertical="top"/>
    </xf>
    <xf numFmtId="0" fontId="6" fillId="0" borderId="56" xfId="0" applyFont="1" applyBorder="1" applyAlignment="1">
      <alignment horizontal="left" vertical="top"/>
    </xf>
    <xf numFmtId="0" fontId="6" fillId="0" borderId="40" xfId="0" applyFont="1" applyBorder="1" applyAlignment="1">
      <alignment horizontal="left" vertical="top" wrapText="1"/>
    </xf>
    <xf numFmtId="0" fontId="6" fillId="0" borderId="41" xfId="0" applyFont="1" applyBorder="1" applyAlignment="1">
      <alignment horizontal="left" vertical="top"/>
    </xf>
    <xf numFmtId="0" fontId="6" fillId="0" borderId="45" xfId="0" applyFont="1" applyBorder="1" applyAlignment="1">
      <alignment horizontal="left" vertical="top"/>
    </xf>
    <xf numFmtId="0" fontId="4" fillId="0" borderId="44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8" fillId="0" borderId="35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0" fontId="8" fillId="0" borderId="37" xfId="0" applyFont="1" applyBorder="1" applyAlignment="1">
      <alignment horizontal="left" vertical="top" wrapText="1"/>
    </xf>
    <xf numFmtId="0" fontId="9" fillId="0" borderId="3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9" fillId="0" borderId="40" xfId="0" applyFont="1" applyBorder="1" applyAlignment="1">
      <alignment horizontal="left" vertical="top" wrapText="1"/>
    </xf>
    <xf numFmtId="0" fontId="9" fillId="0" borderId="41" xfId="0" applyFont="1" applyBorder="1" applyAlignment="1">
      <alignment horizontal="left" vertical="top" wrapText="1"/>
    </xf>
    <xf numFmtId="0" fontId="4" fillId="3" borderId="31" xfId="0" applyFont="1" applyFill="1" applyBorder="1" applyAlignment="1">
      <alignment horizontal="left" vertical="top"/>
    </xf>
    <xf numFmtId="0" fontId="4" fillId="3" borderId="32" xfId="0" applyFont="1" applyFill="1" applyBorder="1" applyAlignment="1">
      <alignment horizontal="left" vertical="top"/>
    </xf>
    <xf numFmtId="0" fontId="4" fillId="3" borderId="33" xfId="0" applyFont="1" applyFill="1" applyBorder="1" applyAlignment="1">
      <alignment horizontal="left" vertical="top"/>
    </xf>
    <xf numFmtId="0" fontId="13" fillId="0" borderId="52" xfId="0" applyFont="1" applyBorder="1" applyAlignment="1">
      <alignment horizontal="left"/>
    </xf>
    <xf numFmtId="0" fontId="13" fillId="0" borderId="53" xfId="0" applyFont="1" applyBorder="1" applyAlignment="1">
      <alignment horizontal="left"/>
    </xf>
    <xf numFmtId="0" fontId="13" fillId="0" borderId="54" xfId="0" applyFont="1" applyBorder="1" applyAlignment="1">
      <alignment horizontal="left"/>
    </xf>
    <xf numFmtId="0" fontId="4" fillId="0" borderId="55" xfId="0" applyFont="1" applyBorder="1" applyAlignment="1">
      <alignment horizontal="left"/>
    </xf>
    <xf numFmtId="0" fontId="4" fillId="0" borderId="53" xfId="0" applyFont="1" applyBorder="1" applyAlignment="1">
      <alignment horizontal="left"/>
    </xf>
    <xf numFmtId="0" fontId="4" fillId="0" borderId="56" xfId="0" applyFont="1" applyBorder="1" applyAlignment="1">
      <alignment horizontal="left"/>
    </xf>
    <xf numFmtId="0" fontId="6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6" fontId="6" fillId="0" borderId="9" xfId="0" applyNumberFormat="1" applyFont="1" applyBorder="1" applyAlignment="1">
      <alignment horizontal="center" vertical="center"/>
    </xf>
    <xf numFmtId="0" fontId="8" fillId="0" borderId="46" xfId="0" applyFont="1" applyBorder="1" applyAlignment="1">
      <alignment vertical="center"/>
    </xf>
    <xf numFmtId="2" fontId="6" fillId="0" borderId="10" xfId="0" applyNumberFormat="1" applyFont="1" applyBorder="1" applyAlignment="1">
      <alignment horizontal="center" vertical="center"/>
    </xf>
    <xf numFmtId="2" fontId="8" fillId="0" borderId="11" xfId="0" applyNumberFormat="1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8" fillId="0" borderId="48" xfId="0" applyFont="1" applyBorder="1"/>
    <xf numFmtId="0" fontId="4" fillId="0" borderId="2" xfId="0" applyFont="1" applyBorder="1" applyAlignment="1">
      <alignment horizontal="center"/>
    </xf>
    <xf numFmtId="0" fontId="8" fillId="0" borderId="4" xfId="0" applyFont="1" applyBorder="1"/>
    <xf numFmtId="0" fontId="6" fillId="0" borderId="31" xfId="0" applyFont="1" applyBorder="1" applyAlignment="1">
      <alignment horizontal="left" wrapText="1"/>
    </xf>
    <xf numFmtId="0" fontId="6" fillId="0" borderId="32" xfId="0" applyFont="1" applyBorder="1" applyAlignment="1">
      <alignment horizontal="left" wrapText="1"/>
    </xf>
    <xf numFmtId="0" fontId="6" fillId="0" borderId="43" xfId="0" applyFont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15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14" fillId="0" borderId="34" xfId="0" applyFont="1" applyBorder="1" applyAlignment="1">
      <alignment horizontal="left" vertical="top" wrapText="1"/>
    </xf>
    <xf numFmtId="0" fontId="14" fillId="0" borderId="15" xfId="0" applyFont="1" applyBorder="1" applyAlignment="1">
      <alignment horizontal="left" vertical="top" wrapText="1"/>
    </xf>
    <xf numFmtId="0" fontId="14" fillId="0" borderId="16" xfId="0" applyFont="1" applyBorder="1" applyAlignment="1">
      <alignment horizontal="left" vertical="top" wrapText="1"/>
    </xf>
    <xf numFmtId="0" fontId="14" fillId="0" borderId="40" xfId="0" applyFont="1" applyBorder="1" applyAlignment="1">
      <alignment horizontal="left" vertical="top" wrapText="1"/>
    </xf>
    <xf numFmtId="0" fontId="14" fillId="0" borderId="41" xfId="0" applyFont="1" applyBorder="1" applyAlignment="1">
      <alignment horizontal="left" vertical="top" wrapText="1"/>
    </xf>
    <xf numFmtId="0" fontId="14" fillId="0" borderId="42" xfId="0" applyFont="1" applyBorder="1" applyAlignment="1">
      <alignment horizontal="left" vertical="top" wrapText="1"/>
    </xf>
    <xf numFmtId="0" fontId="6" fillId="0" borderId="34" xfId="0" applyFont="1" applyBorder="1" applyAlignment="1">
      <alignment horizontal="center"/>
    </xf>
    <xf numFmtId="0" fontId="0" fillId="0" borderId="15" xfId="0" applyFont="1" applyBorder="1" applyAlignment="1"/>
    <xf numFmtId="166" fontId="12" fillId="0" borderId="15" xfId="0" applyNumberFormat="1" applyFont="1" applyBorder="1" applyAlignment="1">
      <alignment horizontal="center" vertical="center"/>
    </xf>
    <xf numFmtId="0" fontId="8" fillId="0" borderId="35" xfId="0" applyFont="1" applyBorder="1"/>
    <xf numFmtId="0" fontId="8" fillId="0" borderId="15" xfId="0" applyFont="1" applyBorder="1"/>
    <xf numFmtId="0" fontId="4" fillId="0" borderId="3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35" xfId="0" applyFont="1" applyBorder="1" applyAlignment="1">
      <alignment horizontal="left"/>
    </xf>
    <xf numFmtId="0" fontId="8" fillId="0" borderId="39" xfId="0" applyFont="1" applyBorder="1"/>
    <xf numFmtId="0" fontId="4" fillId="0" borderId="17" xfId="0" applyFont="1" applyBorder="1" applyAlignment="1">
      <alignment horizontal="center"/>
    </xf>
    <xf numFmtId="0" fontId="8" fillId="0" borderId="19" xfId="0" applyFont="1" applyBorder="1"/>
    <xf numFmtId="0" fontId="8" fillId="0" borderId="37" xfId="0" applyFont="1" applyBorder="1"/>
    <xf numFmtId="0" fontId="11" fillId="0" borderId="14" xfId="0" applyFont="1" applyBorder="1" applyAlignment="1">
      <alignment horizontal="center" vertical="center"/>
    </xf>
    <xf numFmtId="0" fontId="8" fillId="0" borderId="17" xfId="0" applyFont="1" applyBorder="1"/>
    <xf numFmtId="0" fontId="8" fillId="0" borderId="18" xfId="0" applyFont="1" applyBorder="1"/>
    <xf numFmtId="0" fontId="4" fillId="0" borderId="34" xfId="0" applyFont="1" applyBorder="1" applyAlignment="1">
      <alignment horizontal="center"/>
    </xf>
    <xf numFmtId="0" fontId="8" fillId="0" borderId="16" xfId="0" applyFont="1" applyBorder="1"/>
    <xf numFmtId="0" fontId="6" fillId="0" borderId="36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/>
    </xf>
    <xf numFmtId="0" fontId="8" fillId="0" borderId="32" xfId="0" applyFont="1" applyBorder="1"/>
    <xf numFmtId="0" fontId="8" fillId="0" borderId="33" xfId="0" applyFont="1" applyBorder="1"/>
    <xf numFmtId="0" fontId="4" fillId="0" borderId="32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8" fillId="0" borderId="3" xfId="0" applyFont="1" applyBorder="1"/>
    <xf numFmtId="0" fontId="6" fillId="0" borderId="34" xfId="0" applyFont="1" applyBorder="1" applyAlignment="1">
      <alignment horizontal="left" vertical="top" wrapText="1"/>
    </xf>
    <xf numFmtId="0" fontId="8" fillId="0" borderId="34" xfId="0" applyFont="1" applyBorder="1"/>
    <xf numFmtId="0" fontId="8" fillId="0" borderId="36" xfId="0" applyFont="1" applyBorder="1"/>
    <xf numFmtId="0" fontId="10" fillId="0" borderId="38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 wrapText="1"/>
    </xf>
    <xf numFmtId="0" fontId="8" fillId="0" borderId="40" xfId="0" applyFont="1" applyBorder="1"/>
    <xf numFmtId="0" fontId="8" fillId="0" borderId="41" xfId="0" applyFont="1" applyBorder="1"/>
    <xf numFmtId="0" fontId="8" fillId="0" borderId="45" xfId="0" applyFont="1" applyBorder="1"/>
    <xf numFmtId="0" fontId="21" fillId="0" borderId="15" xfId="0" applyFont="1" applyBorder="1" applyAlignment="1">
      <alignment horizontal="center" vertical="center" wrapText="1"/>
    </xf>
    <xf numFmtId="0" fontId="22" fillId="0" borderId="15" xfId="0" applyFont="1" applyBorder="1" applyAlignment="1"/>
    <xf numFmtId="0" fontId="23" fillId="0" borderId="35" xfId="0" applyFont="1" applyBorder="1"/>
    <xf numFmtId="0" fontId="23" fillId="0" borderId="41" xfId="0" applyFont="1" applyBorder="1"/>
    <xf numFmtId="0" fontId="23" fillId="0" borderId="45" xfId="0" applyFont="1" applyBorder="1"/>
    <xf numFmtId="0" fontId="6" fillId="0" borderId="17" xfId="0" applyFont="1" applyBorder="1" applyAlignment="1">
      <alignment horizontal="center"/>
    </xf>
    <xf numFmtId="165" fontId="4" fillId="0" borderId="17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20" fillId="0" borderId="15" xfId="0" applyFont="1" applyBorder="1"/>
    <xf numFmtId="0" fontId="20" fillId="0" borderId="16" xfId="0" applyFont="1" applyBorder="1"/>
    <xf numFmtId="0" fontId="7" fillId="0" borderId="15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/>
    </xf>
    <xf numFmtId="0" fontId="8" fillId="0" borderId="43" xfId="0" applyFont="1" applyBorder="1"/>
    <xf numFmtId="164" fontId="6" fillId="0" borderId="17" xfId="0" applyNumberFormat="1" applyFont="1" applyBorder="1" applyAlignment="1">
      <alignment horizontal="center"/>
    </xf>
    <xf numFmtId="168" fontId="6" fillId="0" borderId="17" xfId="0" applyNumberFormat="1" applyFont="1" applyBorder="1" applyAlignment="1">
      <alignment horizontal="center"/>
    </xf>
    <xf numFmtId="168" fontId="8" fillId="0" borderId="18" xfId="0" applyNumberFormat="1" applyFont="1" applyBorder="1"/>
    <xf numFmtId="168" fontId="8" fillId="0" borderId="37" xfId="0" applyNumberFormat="1" applyFont="1" applyBorder="1"/>
    <xf numFmtId="0" fontId="6" fillId="0" borderId="9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2" fontId="6" fillId="0" borderId="9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/>
    </xf>
    <xf numFmtId="0" fontId="8" fillId="0" borderId="46" xfId="0" applyFont="1" applyBorder="1"/>
    <xf numFmtId="0" fontId="14" fillId="0" borderId="31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35" xfId="0" applyFont="1" applyBorder="1" applyAlignment="1">
      <alignment horizont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3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3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top" wrapText="1"/>
    </xf>
    <xf numFmtId="0" fontId="4" fillId="0" borderId="41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14" fillId="0" borderId="38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14" fillId="0" borderId="32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24" fillId="0" borderId="34" xfId="0" applyFont="1" applyBorder="1" applyAlignment="1">
      <alignment horizontal="center"/>
    </xf>
    <xf numFmtId="0" fontId="24" fillId="0" borderId="15" xfId="0" applyFont="1" applyBorder="1" applyAlignment="1">
      <alignment horizontal="center"/>
    </xf>
    <xf numFmtId="0" fontId="24" fillId="0" borderId="35" xfId="0" applyFont="1" applyBorder="1" applyAlignment="1">
      <alignment horizontal="center"/>
    </xf>
    <xf numFmtId="0" fontId="25" fillId="0" borderId="31" xfId="0" applyFont="1" applyBorder="1" applyAlignment="1">
      <alignment horizontal="center"/>
    </xf>
    <xf numFmtId="0" fontId="25" fillId="0" borderId="32" xfId="0" applyFont="1" applyBorder="1" applyAlignment="1">
      <alignment horizontal="center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6" fillId="0" borderId="36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/>
    </xf>
    <xf numFmtId="0" fontId="6" fillId="0" borderId="38" xfId="0" applyFont="1" applyBorder="1" applyAlignment="1">
      <alignment horizontal="left"/>
    </xf>
    <xf numFmtId="0" fontId="4" fillId="0" borderId="15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0" fontId="14" fillId="0" borderId="33" xfId="0" applyFont="1" applyBorder="1" applyAlignment="1">
      <alignment horizont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4" fillId="0" borderId="31" xfId="0" applyFont="1" applyBorder="1" applyAlignment="1">
      <alignment horizontal="left"/>
    </xf>
    <xf numFmtId="0" fontId="6" fillId="0" borderId="44" xfId="0" applyFont="1" applyBorder="1" applyAlignment="1">
      <alignment horizontal="center"/>
    </xf>
    <xf numFmtId="0" fontId="15" fillId="0" borderId="34" xfId="0" applyFont="1" applyBorder="1" applyAlignment="1">
      <alignment horizontal="left"/>
    </xf>
    <xf numFmtId="0" fontId="14" fillId="2" borderId="40" xfId="0" applyFont="1" applyFill="1" applyBorder="1" applyAlignment="1">
      <alignment horizontal="left" vertical="top"/>
    </xf>
    <xf numFmtId="0" fontId="8" fillId="0" borderId="42" xfId="0" applyFont="1" applyBorder="1"/>
    <xf numFmtId="0" fontId="6" fillId="0" borderId="50" xfId="0" applyFont="1" applyBorder="1" applyAlignment="1">
      <alignment horizontal="left"/>
    </xf>
    <xf numFmtId="0" fontId="6" fillId="0" borderId="15" xfId="0" applyFont="1" applyBorder="1" applyAlignment="1">
      <alignment horizontal="center" vertical="top"/>
    </xf>
    <xf numFmtId="0" fontId="4" fillId="0" borderId="38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 vertical="top" wrapText="1"/>
    </xf>
    <xf numFmtId="0" fontId="8" fillId="0" borderId="5" xfId="0" applyFont="1" applyBorder="1"/>
    <xf numFmtId="0" fontId="8" fillId="0" borderId="11" xfId="0" applyFont="1" applyBorder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0" borderId="6" xfId="0" applyFont="1" applyBorder="1"/>
    <xf numFmtId="0" fontId="6" fillId="0" borderId="7" xfId="0" applyFont="1" applyBorder="1" applyAlignment="1">
      <alignment horizontal="center" wrapText="1"/>
    </xf>
    <xf numFmtId="0" fontId="8" fillId="0" borderId="1" xfId="0" applyFont="1" applyBorder="1"/>
    <xf numFmtId="0" fontId="8" fillId="0" borderId="8" xfId="0" applyFont="1" applyBorder="1"/>
    <xf numFmtId="0" fontId="17" fillId="0" borderId="5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8" fillId="0" borderId="6" xfId="0" applyFont="1" applyBorder="1" applyAlignment="1">
      <alignment vertical="center"/>
    </xf>
    <xf numFmtId="0" fontId="6" fillId="0" borderId="0" xfId="0" applyFont="1" applyAlignment="1">
      <alignment horizontal="left" wrapText="1"/>
    </xf>
    <xf numFmtId="0" fontId="6" fillId="0" borderId="10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1" fontId="4" fillId="0" borderId="23" xfId="0" applyNumberFormat="1" applyFont="1" applyBorder="1" applyAlignment="1">
      <alignment horizontal="center"/>
    </xf>
    <xf numFmtId="0" fontId="8" fillId="0" borderId="24" xfId="0" applyFont="1" applyBorder="1"/>
    <xf numFmtId="0" fontId="15" fillId="0" borderId="5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4" fillId="0" borderId="9" xfId="0" applyFont="1" applyBorder="1" applyAlignment="1">
      <alignment horizontal="left"/>
    </xf>
    <xf numFmtId="0" fontId="8" fillId="0" borderId="10" xfId="0" applyFont="1" applyBorder="1"/>
    <xf numFmtId="1" fontId="4" fillId="0" borderId="10" xfId="0" applyNumberFormat="1" applyFont="1" applyBorder="1" applyAlignment="1">
      <alignment horizontal="center"/>
    </xf>
    <xf numFmtId="14" fontId="4" fillId="0" borderId="0" xfId="0" applyNumberFormat="1" applyFont="1" applyAlignment="1">
      <alignment horizontal="left" vertical="top" wrapText="1"/>
    </xf>
    <xf numFmtId="1" fontId="4" fillId="0" borderId="28" xfId="0" applyNumberFormat="1" applyFont="1" applyBorder="1" applyAlignment="1">
      <alignment horizontal="center"/>
    </xf>
    <xf numFmtId="0" fontId="8" fillId="0" borderId="29" xfId="0" applyFont="1" applyBorder="1"/>
    <xf numFmtId="0" fontId="4" fillId="0" borderId="9" xfId="0" applyFont="1" applyBorder="1" applyAlignment="1">
      <alignment horizontal="center" vertical="top"/>
    </xf>
    <xf numFmtId="0" fontId="8" fillId="0" borderId="11" xfId="0" applyFont="1" applyBorder="1" applyAlignment="1">
      <alignment vertical="top"/>
    </xf>
    <xf numFmtId="4" fontId="4" fillId="0" borderId="9" xfId="0" applyNumberFormat="1" applyFont="1" applyBorder="1" applyAlignment="1">
      <alignment horizontal="center" vertical="top"/>
    </xf>
    <xf numFmtId="1" fontId="4" fillId="0" borderId="9" xfId="0" applyNumberFormat="1" applyFont="1" applyBorder="1" applyAlignment="1">
      <alignment horizontal="center" vertical="top"/>
    </xf>
    <xf numFmtId="0" fontId="6" fillId="0" borderId="7" xfId="0" applyFont="1" applyBorder="1" applyAlignment="1">
      <alignment horizontal="left"/>
    </xf>
    <xf numFmtId="0" fontId="15" fillId="0" borderId="21" xfId="0" applyFont="1" applyBorder="1" applyAlignment="1">
      <alignment horizontal="center"/>
    </xf>
    <xf numFmtId="0" fontId="8" fillId="0" borderId="22" xfId="0" applyFont="1" applyBorder="1"/>
    <xf numFmtId="0" fontId="19" fillId="0" borderId="5" xfId="0" applyFont="1" applyBorder="1" applyAlignment="1">
      <alignment horizontal="left"/>
    </xf>
    <xf numFmtId="0" fontId="15" fillId="0" borderId="26" xfId="0" applyFont="1" applyBorder="1" applyAlignment="1">
      <alignment horizontal="center"/>
    </xf>
    <xf numFmtId="0" fontId="8" fillId="0" borderId="27" xfId="0" applyFont="1" applyBorder="1"/>
    <xf numFmtId="0" fontId="8" fillId="0" borderId="20" xfId="0" applyFont="1" applyBorder="1"/>
  </cellXfs>
  <cellStyles count="1">
    <cellStyle name="Normal" xfId="0" builtinId="0"/>
  </cellStyles>
  <dxfs count="9">
    <dxf>
      <fill>
        <patternFill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419100</xdr:colOff>
      <xdr:row>40</xdr:row>
      <xdr:rowOff>133350</xdr:rowOff>
    </xdr:from>
    <xdr:to>
      <xdr:col>9</xdr:col>
      <xdr:colOff>233293</xdr:colOff>
      <xdr:row>43</xdr:row>
      <xdr:rowOff>143258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75329FE9-E2D3-468F-BD3A-EACC71C4F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0" y="7858125"/>
          <a:ext cx="2471668" cy="7052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295275</xdr:colOff>
      <xdr:row>34</xdr:row>
      <xdr:rowOff>1</xdr:rowOff>
    </xdr:from>
    <xdr:to>
      <xdr:col>9</xdr:col>
      <xdr:colOff>278942</xdr:colOff>
      <xdr:row>36</xdr:row>
      <xdr:rowOff>171451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60F988F7-BFF0-4A6F-BD07-B095EECE6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8639176"/>
          <a:ext cx="2002967" cy="571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39</xdr:row>
      <xdr:rowOff>9525</xdr:rowOff>
    </xdr:from>
    <xdr:to>
      <xdr:col>3</xdr:col>
      <xdr:colOff>383717</xdr:colOff>
      <xdr:row>41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27FF2BB4-E993-405A-9D15-4C7AF76AA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8486775"/>
          <a:ext cx="2002967" cy="571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38</xdr:row>
      <xdr:rowOff>9525</xdr:rowOff>
    </xdr:from>
    <xdr:to>
      <xdr:col>5</xdr:col>
      <xdr:colOff>278942</xdr:colOff>
      <xdr:row>41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ED4865D8-13A3-4F4B-B053-C0A3D7638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8515350"/>
          <a:ext cx="2002967" cy="571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264053</xdr:colOff>
      <xdr:row>38</xdr:row>
      <xdr:rowOff>0</xdr:rowOff>
    </xdr:from>
    <xdr:to>
      <xdr:col>3</xdr:col>
      <xdr:colOff>333375</xdr:colOff>
      <xdr:row>40</xdr:row>
      <xdr:rowOff>187746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EC6EAC24-3677-495D-AA2E-A483BEB54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078" y="8515350"/>
          <a:ext cx="1907647" cy="587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B2" sqref="B2"/>
    </sheetView>
  </sheetViews>
  <sheetFormatPr defaultColWidth="14.42578125" defaultRowHeight="15" customHeight="1" x14ac:dyDescent="0.25"/>
  <cols>
    <col min="1" max="1" width="12.85546875" customWidth="1"/>
    <col min="2" max="2" width="18" customWidth="1"/>
    <col min="3" max="4" width="16.28515625" customWidth="1"/>
    <col min="5" max="5" width="39.28515625" customWidth="1"/>
    <col min="6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40" t="s">
        <v>99</v>
      </c>
      <c r="B2" s="74" t="s">
        <v>142</v>
      </c>
      <c r="C2" s="2" t="s">
        <v>5</v>
      </c>
      <c r="D2" s="2" t="s">
        <v>6</v>
      </c>
      <c r="E2" s="74" t="s">
        <v>140</v>
      </c>
    </row>
    <row r="3" spans="1:5" x14ac:dyDescent="0.25">
      <c r="B3" s="2" t="s">
        <v>7</v>
      </c>
      <c r="D3" s="2" t="s">
        <v>8</v>
      </c>
      <c r="E3" s="2" t="s">
        <v>9</v>
      </c>
    </row>
    <row r="4" spans="1:5" x14ac:dyDescent="0.25">
      <c r="B4" s="2" t="s">
        <v>10</v>
      </c>
      <c r="D4" s="2" t="s">
        <v>11</v>
      </c>
      <c r="E4" s="2" t="s">
        <v>12</v>
      </c>
    </row>
    <row r="5" spans="1:5" x14ac:dyDescent="0.25">
      <c r="E5" s="2" t="s">
        <v>13</v>
      </c>
    </row>
    <row r="6" spans="1:5" ht="15" customHeight="1" x14ac:dyDescent="0.25">
      <c r="E6" s="43" t="s">
        <v>100</v>
      </c>
    </row>
    <row r="7" spans="1:5" ht="15" customHeight="1" x14ac:dyDescent="0.25">
      <c r="E7" t="s">
        <v>141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>
      <selection activeCell="E6" sqref="E6"/>
    </sheetView>
  </sheetViews>
  <sheetFormatPr defaultColWidth="14.42578125" defaultRowHeight="15" customHeight="1" x14ac:dyDescent="0.25"/>
  <cols>
    <col min="1" max="1" width="20.28515625" customWidth="1"/>
    <col min="2" max="2" width="39.5703125" customWidth="1"/>
    <col min="3" max="14" width="9.140625" customWidth="1"/>
    <col min="15" max="26" width="8.7109375" customWidth="1"/>
  </cols>
  <sheetData>
    <row r="1" spans="1:26" x14ac:dyDescent="0.25">
      <c r="A1" s="1" t="s">
        <v>14</v>
      </c>
      <c r="B1" s="3" t="s">
        <v>99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1" t="s">
        <v>15</v>
      </c>
      <c r="B2" s="5" t="s">
        <v>151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1" t="s">
        <v>16</v>
      </c>
      <c r="B3" s="6" t="str">
        <f>"BK0" &amp; B2 &amp; "/" &amp; B1</f>
        <v>BK002/25-26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s="55" customFormat="1" x14ac:dyDescent="0.25">
      <c r="A4" s="1" t="s">
        <v>17</v>
      </c>
      <c r="B4" s="7">
        <v>45945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s="55" customFormat="1" x14ac:dyDescent="0.25">
      <c r="A5" s="1" t="s">
        <v>120</v>
      </c>
      <c r="B5" s="6" t="s">
        <v>170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1" t="s">
        <v>18</v>
      </c>
      <c r="B6" s="7" t="str">
        <f>IF(B1="24-25","AD240424008317F",IF(B1="23-24","AD240322004861M",IF(B1="25-26","AD240725023182F",IF(B1="","select the financial year"))))</f>
        <v>AD240725023182F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s="41" customFormat="1" ht="149.25" customHeight="1" x14ac:dyDescent="0.25">
      <c r="A7" s="94" t="s">
        <v>42</v>
      </c>
      <c r="B7" s="93" t="s">
        <v>169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110" t="s">
        <v>19</v>
      </c>
      <c r="B8" s="112" t="s">
        <v>149</v>
      </c>
      <c r="C8" s="10"/>
      <c r="D8" s="10"/>
      <c r="E8" s="10"/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5">
      <c r="A9" s="111"/>
      <c r="B9" s="113"/>
      <c r="C9" s="10"/>
      <c r="D9" s="10"/>
      <c r="E9" s="10"/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5.25" customHeight="1" x14ac:dyDescent="0.25">
      <c r="A10" s="111"/>
      <c r="B10" s="113"/>
      <c r="C10" s="10"/>
      <c r="D10" s="10"/>
      <c r="E10" s="10"/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111"/>
      <c r="B11" s="113"/>
      <c r="C11" s="10"/>
      <c r="D11" s="10"/>
      <c r="E11" s="10"/>
      <c r="F11" s="10"/>
      <c r="G11" s="4"/>
      <c r="H11" s="4"/>
      <c r="I11" s="4"/>
      <c r="J11" s="4"/>
      <c r="K11" s="4"/>
      <c r="L11" s="4"/>
      <c r="M11" s="4"/>
      <c r="N11" s="11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111"/>
      <c r="B12" s="113"/>
      <c r="C12" s="10"/>
      <c r="D12" s="10"/>
      <c r="E12" s="10"/>
      <c r="F12" s="10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4.5" customHeight="1" x14ac:dyDescent="0.25">
      <c r="A13" s="111"/>
      <c r="B13" s="113"/>
      <c r="C13" s="10"/>
      <c r="D13" s="10"/>
      <c r="E13" s="10"/>
      <c r="F13" s="10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4.5" customHeight="1" x14ac:dyDescent="0.25">
      <c r="A14" s="8" t="s">
        <v>20</v>
      </c>
      <c r="B14" s="9">
        <v>1</v>
      </c>
      <c r="C14" s="10"/>
      <c r="D14" s="10"/>
      <c r="E14" s="10"/>
      <c r="F14" s="10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1" t="s">
        <v>21</v>
      </c>
      <c r="B15" s="3" t="s">
        <v>142</v>
      </c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1" t="s">
        <v>22</v>
      </c>
      <c r="B16" s="3" t="s">
        <v>5</v>
      </c>
      <c r="C16" s="3"/>
      <c r="D16" s="3"/>
      <c r="E16" s="3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1" t="s">
        <v>23</v>
      </c>
      <c r="B17" s="3" t="s">
        <v>6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1" t="s">
        <v>24</v>
      </c>
      <c r="B18" s="3" t="s">
        <v>141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" x14ac:dyDescent="0.25">
      <c r="A19" s="12" t="s">
        <v>25</v>
      </c>
      <c r="B19" s="3" t="s">
        <v>155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12" t="s">
        <v>26</v>
      </c>
      <c r="B20" s="3" t="s">
        <v>155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12" t="s">
        <v>27</v>
      </c>
      <c r="B21" s="14" t="s">
        <v>156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2" t="s">
        <v>28</v>
      </c>
      <c r="B22" s="14" t="s">
        <v>156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3" t="s">
        <v>29</v>
      </c>
      <c r="B23" s="3" t="s">
        <v>157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 t="s">
        <v>112</v>
      </c>
      <c r="B24" s="14" t="s">
        <v>158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 t="s">
        <v>109</v>
      </c>
      <c r="B25" s="14">
        <v>276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s="55" customFormat="1" ht="15.75" customHeight="1" x14ac:dyDescent="0.25">
      <c r="A26" s="1" t="s">
        <v>111</v>
      </c>
      <c r="B26" s="14" t="s">
        <v>139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1" t="s">
        <v>110</v>
      </c>
      <c r="B27" s="14">
        <v>155.75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4" t="s">
        <v>113</v>
      </c>
      <c r="B28" s="14">
        <v>16.2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1" t="s">
        <v>114</v>
      </c>
      <c r="B29" s="14" t="s">
        <v>139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1" t="s">
        <v>115</v>
      </c>
      <c r="B30" s="14">
        <v>168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 t="s">
        <v>116</v>
      </c>
      <c r="B31" s="14">
        <v>14.9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1" t="s">
        <v>117</v>
      </c>
      <c r="B32" s="14" t="s">
        <v>139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1" t="s">
        <v>118</v>
      </c>
      <c r="B33" s="14">
        <v>159.25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 t="s">
        <v>119</v>
      </c>
      <c r="B34" s="14">
        <v>23.2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sheetProtection selectLockedCells="1"/>
  <mergeCells count="2">
    <mergeCell ref="A8:A13"/>
    <mergeCell ref="B8:B13"/>
  </mergeCells>
  <conditionalFormatting sqref="B1:B3 B5:B28">
    <cfRule type="containsBlanks" dxfId="8" priority="11">
      <formula>LEN(TRIM(B1))=0</formula>
    </cfRule>
  </conditionalFormatting>
  <conditionalFormatting sqref="B6:B7">
    <cfRule type="containsText" dxfId="7" priority="12" operator="containsText" text="FALSE">
      <formula>NOT(ISERROR(SEARCH(("FALSE"),(B6))))</formula>
    </cfRule>
  </conditionalFormatting>
  <conditionalFormatting sqref="B6:B7">
    <cfRule type="containsText" dxfId="6" priority="13" operator="containsText" text="select the financial year">
      <formula>NOT(ISERROR(SEARCH(("select the financial year"),(B6))))</formula>
    </cfRule>
  </conditionalFormatting>
  <conditionalFormatting sqref="B30:B31">
    <cfRule type="containsBlanks" dxfId="5" priority="10">
      <formula>LEN(TRIM(B30))=0</formula>
    </cfRule>
  </conditionalFormatting>
  <conditionalFormatting sqref="B33:B34">
    <cfRule type="containsBlanks" dxfId="4" priority="9">
      <formula>LEN(TRIM(B33))=0</formula>
    </cfRule>
  </conditionalFormatting>
  <conditionalFormatting sqref="B4">
    <cfRule type="containsBlanks" dxfId="3" priority="7">
      <formula>LEN(TRIM(B4))=0</formula>
    </cfRule>
  </conditionalFormatting>
  <conditionalFormatting sqref="B29">
    <cfRule type="containsBlanks" dxfId="2" priority="3">
      <formula>LEN(TRIM(B29))=0</formula>
    </cfRule>
  </conditionalFormatting>
  <conditionalFormatting sqref="B32">
    <cfRule type="containsBlanks" dxfId="1" priority="2">
      <formula>LEN(TRIM(B32))=0</formula>
    </cfRule>
  </conditionalFormatting>
  <dataValidations count="3">
    <dataValidation type="decimal" allowBlank="1" showErrorMessage="1" sqref="B14">
      <formula1>1</formula1>
      <formula2>100</formula2>
    </dataValidation>
    <dataValidation type="date" operator="greaterThan" allowBlank="1" showInputMessage="1" showErrorMessage="1" prompt="kindly enter date" sqref="B4">
      <formula1>44927</formula1>
    </dataValidation>
    <dataValidation type="decimal" allowBlank="1" showInputMessage="1" showErrorMessage="1" prompt="kindly enter numeric values only" sqref="B25 B27:B28 B30:B31 B33:B34">
      <formula1>0</formula1>
      <formula2>9999999999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'company data'!$B$2:$B$13</xm:f>
          </x14:formula1>
          <xm:sqref>B15</xm:sqref>
        </x14:dataValidation>
        <x14:dataValidation type="list" allowBlank="1" showErrorMessage="1">
          <x14:formula1>
            <xm:f>'company data'!$D$2:$D$23</xm:f>
          </x14:formula1>
          <xm:sqref>B17</xm:sqref>
        </x14:dataValidation>
        <x14:dataValidation type="list" allowBlank="1" showErrorMessage="1">
          <x14:formula1>
            <xm:f>'company data'!$A$2:$A$7</xm:f>
          </x14:formula1>
          <xm:sqref>B1</xm:sqref>
        </x14:dataValidation>
        <x14:dataValidation type="list" allowBlank="1" showErrorMessage="1">
          <x14:formula1>
            <xm:f>'company data'!$E$2:$E$18</xm:f>
          </x14:formula1>
          <xm:sqref>B18</xm:sqref>
        </x14:dataValidation>
        <x14:dataValidation type="list" allowBlank="1" showErrorMessage="1">
          <x14:formula1>
            <xm:f>'company data'!$C$2:$C$16</xm:f>
          </x14:formula1>
          <xm:sqref>B16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showGridLines="0" zoomScaleNormal="100" workbookViewId="0">
      <selection sqref="A1:J44"/>
    </sheetView>
  </sheetViews>
  <sheetFormatPr defaultColWidth="14.42578125" defaultRowHeight="15" x14ac:dyDescent="0.25"/>
  <cols>
    <col min="1" max="1" width="8.7109375" style="47" customWidth="1"/>
    <col min="2" max="2" width="8.28515625" style="47" customWidth="1"/>
    <col min="3" max="3" width="8.7109375" style="47" customWidth="1"/>
    <col min="4" max="4" width="18.28515625" style="47" customWidth="1"/>
    <col min="5" max="5" width="9.7109375" style="47" customWidth="1"/>
    <col min="6" max="6" width="6.5703125" style="47" customWidth="1"/>
    <col min="7" max="7" width="4.7109375" style="47" customWidth="1"/>
    <col min="8" max="8" width="10.140625" style="47" customWidth="1"/>
    <col min="9" max="9" width="8.7109375" style="47" customWidth="1"/>
    <col min="10" max="10" width="6.5703125" style="47" customWidth="1"/>
    <col min="11" max="12" width="8.7109375" style="47" customWidth="1"/>
    <col min="13" max="13" width="5.7109375" style="47" customWidth="1"/>
    <col min="14" max="26" width="8.7109375" style="47" customWidth="1"/>
    <col min="27" max="16384" width="14.42578125" style="47"/>
  </cols>
  <sheetData>
    <row r="1" spans="1:10" x14ac:dyDescent="0.25">
      <c r="A1" s="219" t="s">
        <v>33</v>
      </c>
      <c r="B1" s="168"/>
      <c r="C1" s="168"/>
      <c r="D1" s="168"/>
      <c r="E1" s="168"/>
      <c r="F1" s="168"/>
      <c r="G1" s="168"/>
      <c r="H1" s="168"/>
      <c r="I1" s="168"/>
      <c r="J1" s="168"/>
    </row>
    <row r="2" spans="1:10" ht="3.75" customHeight="1" thickBot="1" x14ac:dyDescent="0.3">
      <c r="A2" s="171"/>
      <c r="B2" s="171"/>
      <c r="C2" s="171"/>
      <c r="D2" s="171"/>
      <c r="E2" s="171"/>
      <c r="F2" s="171"/>
      <c r="G2" s="171"/>
      <c r="H2" s="171"/>
      <c r="I2" s="171"/>
      <c r="J2" s="171"/>
    </row>
    <row r="3" spans="1:10" x14ac:dyDescent="0.25">
      <c r="A3" s="58" t="s">
        <v>34</v>
      </c>
      <c r="B3" s="51"/>
      <c r="C3" s="51"/>
      <c r="D3" s="70"/>
      <c r="E3" s="220" t="s">
        <v>35</v>
      </c>
      <c r="F3" s="192"/>
      <c r="G3" s="221"/>
      <c r="H3" s="220" t="s">
        <v>36</v>
      </c>
      <c r="I3" s="192"/>
      <c r="J3" s="193"/>
    </row>
    <row r="4" spans="1:10" ht="15.75" thickBot="1" x14ac:dyDescent="0.3">
      <c r="A4" s="48" t="s">
        <v>103</v>
      </c>
      <c r="B4" s="44"/>
      <c r="C4" s="44"/>
      <c r="D4" s="46"/>
      <c r="E4" s="222" t="str">
        <f>'input data'!B3</f>
        <v>BK002/25-26</v>
      </c>
      <c r="F4" s="181"/>
      <c r="G4" s="177"/>
      <c r="H4" s="223">
        <f>'input data'!B4</f>
        <v>45945</v>
      </c>
      <c r="I4" s="224"/>
      <c r="J4" s="225"/>
    </row>
    <row r="5" spans="1:10" ht="15" customHeight="1" x14ac:dyDescent="0.25">
      <c r="A5" s="132" t="s">
        <v>167</v>
      </c>
      <c r="B5" s="133"/>
      <c r="C5" s="133"/>
      <c r="D5" s="133"/>
      <c r="E5" s="153" t="s">
        <v>106</v>
      </c>
      <c r="F5" s="197"/>
      <c r="G5" s="154"/>
      <c r="H5" s="153" t="s">
        <v>37</v>
      </c>
      <c r="I5" s="197"/>
      <c r="J5" s="175"/>
    </row>
    <row r="6" spans="1:10" ht="15.75" thickBot="1" x14ac:dyDescent="0.3">
      <c r="A6" s="132"/>
      <c r="B6" s="133"/>
      <c r="C6" s="133"/>
      <c r="D6" s="133"/>
      <c r="E6" s="214" t="str">
        <f>'input data'!B5</f>
        <v>PI1908/25-26</v>
      </c>
      <c r="F6" s="181"/>
      <c r="G6" s="177"/>
      <c r="H6" s="215" t="str">
        <f>'input data'!B6</f>
        <v>AD240725023182F</v>
      </c>
      <c r="I6" s="181"/>
      <c r="J6" s="178"/>
    </row>
    <row r="7" spans="1:10" x14ac:dyDescent="0.25">
      <c r="A7" s="132"/>
      <c r="B7" s="133"/>
      <c r="C7" s="133"/>
      <c r="D7" s="133"/>
      <c r="E7" s="153" t="s">
        <v>38</v>
      </c>
      <c r="F7" s="197"/>
      <c r="G7" s="154"/>
      <c r="H7" s="153" t="s">
        <v>39</v>
      </c>
      <c r="I7" s="197"/>
      <c r="J7" s="175"/>
    </row>
    <row r="8" spans="1:10" ht="15.75" thickBot="1" x14ac:dyDescent="0.3">
      <c r="A8" s="132"/>
      <c r="B8" s="133"/>
      <c r="C8" s="133"/>
      <c r="D8" s="133"/>
      <c r="E8" s="216" t="s">
        <v>102</v>
      </c>
      <c r="F8" s="217"/>
      <c r="G8" s="218"/>
      <c r="H8" s="216" t="s">
        <v>101</v>
      </c>
      <c r="I8" s="171"/>
      <c r="J8" s="170"/>
    </row>
    <row r="9" spans="1:10" x14ac:dyDescent="0.25">
      <c r="A9" s="132"/>
      <c r="B9" s="133"/>
      <c r="C9" s="133"/>
      <c r="D9" s="133"/>
      <c r="E9" s="191" t="s">
        <v>40</v>
      </c>
      <c r="F9" s="192"/>
      <c r="G9" s="193"/>
      <c r="H9" s="191" t="s">
        <v>41</v>
      </c>
      <c r="I9" s="192"/>
      <c r="J9" s="193"/>
    </row>
    <row r="10" spans="1:10" ht="15.75" thickBot="1" x14ac:dyDescent="0.3">
      <c r="A10" s="132"/>
      <c r="B10" s="133"/>
      <c r="C10" s="133"/>
      <c r="D10" s="133"/>
      <c r="E10" s="167" t="str">
        <f>'input data'!B15</f>
        <v>Wooden Crate Packing</v>
      </c>
      <c r="F10" s="168"/>
      <c r="G10" s="170"/>
      <c r="H10" s="167" t="str">
        <f>'input data'!B14 &amp; " " &amp; 'input data'!B16</f>
        <v>1 FCL</v>
      </c>
      <c r="I10" s="168"/>
      <c r="J10" s="170"/>
    </row>
    <row r="11" spans="1:10" x14ac:dyDescent="0.25">
      <c r="A11" s="132"/>
      <c r="B11" s="133"/>
      <c r="C11" s="133"/>
      <c r="D11" s="133"/>
      <c r="E11" s="191" t="s">
        <v>43</v>
      </c>
      <c r="F11" s="192"/>
      <c r="G11" s="193"/>
      <c r="H11" s="194" t="s">
        <v>44</v>
      </c>
      <c r="I11" s="192"/>
      <c r="J11" s="193"/>
    </row>
    <row r="12" spans="1:10" ht="15" customHeight="1" x14ac:dyDescent="0.25">
      <c r="A12" s="132"/>
      <c r="B12" s="133"/>
      <c r="C12" s="133"/>
      <c r="D12" s="133"/>
      <c r="E12" s="205" t="str">
        <f>'input data'!B17</f>
        <v>FOB</v>
      </c>
      <c r="F12" s="168"/>
      <c r="G12" s="170"/>
      <c r="H12" s="209" t="str">
        <f>'input data'!B18</f>
        <v>30% Advance and Remaining Against BL within 7 days</v>
      </c>
      <c r="I12" s="210"/>
      <c r="J12" s="211"/>
    </row>
    <row r="13" spans="1:10" ht="15.75" thickBot="1" x14ac:dyDescent="0.3">
      <c r="A13" s="134"/>
      <c r="B13" s="135"/>
      <c r="C13" s="135"/>
      <c r="D13" s="135"/>
      <c r="E13" s="206"/>
      <c r="F13" s="207"/>
      <c r="G13" s="208"/>
      <c r="H13" s="212"/>
      <c r="I13" s="212"/>
      <c r="J13" s="213"/>
    </row>
    <row r="14" spans="1:10" ht="15" customHeight="1" x14ac:dyDescent="0.25">
      <c r="A14" s="48" t="s">
        <v>42</v>
      </c>
      <c r="B14" s="44"/>
      <c r="C14" s="44"/>
      <c r="D14" s="46"/>
      <c r="E14" s="123" t="s">
        <v>45</v>
      </c>
      <c r="F14" s="124"/>
      <c r="G14" s="124"/>
      <c r="H14" s="124"/>
      <c r="I14" s="124"/>
      <c r="J14" s="125"/>
    </row>
    <row r="15" spans="1:10" x14ac:dyDescent="0.25">
      <c r="A15" s="198" t="str">
        <f>'input data'!B7</f>
        <v>ZHIÑIN MENDIETA ROSA LOURDES
RUC: 0105370399001
DIRECCIÓN: Barrio: HUISHIL ALTO Calle: 1 DE SEPTIEMBRE
Número: S/N Intersección: BUENA ESPERANZA
Referencia: DIAGONAL A LA HOSTERIA CABALLO CAMPANA
Cuenca - Ecuador</v>
      </c>
      <c r="B15" s="168"/>
      <c r="C15" s="168"/>
      <c r="D15" s="183"/>
      <c r="E15" s="126"/>
      <c r="F15" s="127"/>
      <c r="G15" s="127"/>
      <c r="H15" s="127"/>
      <c r="I15" s="127"/>
      <c r="J15" s="128"/>
    </row>
    <row r="16" spans="1:10" x14ac:dyDescent="0.25">
      <c r="A16" s="199"/>
      <c r="B16" s="168"/>
      <c r="C16" s="168"/>
      <c r="D16" s="183"/>
      <c r="E16" s="126"/>
      <c r="F16" s="127"/>
      <c r="G16" s="127"/>
      <c r="H16" s="127"/>
      <c r="I16" s="127"/>
      <c r="J16" s="128"/>
    </row>
    <row r="17" spans="1:14" x14ac:dyDescent="0.25">
      <c r="A17" s="199"/>
      <c r="B17" s="168"/>
      <c r="C17" s="168"/>
      <c r="D17" s="183"/>
      <c r="E17" s="126"/>
      <c r="F17" s="127"/>
      <c r="G17" s="127"/>
      <c r="H17" s="127"/>
      <c r="I17" s="127"/>
      <c r="J17" s="128"/>
    </row>
    <row r="18" spans="1:14" x14ac:dyDescent="0.25">
      <c r="A18" s="199"/>
      <c r="B18" s="168"/>
      <c r="C18" s="168"/>
      <c r="D18" s="183"/>
      <c r="E18" s="126"/>
      <c r="F18" s="127"/>
      <c r="G18" s="127"/>
      <c r="H18" s="127"/>
      <c r="I18" s="127"/>
      <c r="J18" s="128"/>
      <c r="N18" s="91"/>
    </row>
    <row r="19" spans="1:14" x14ac:dyDescent="0.25">
      <c r="A19" s="199"/>
      <c r="B19" s="168"/>
      <c r="C19" s="168"/>
      <c r="D19" s="183"/>
      <c r="E19" s="126"/>
      <c r="F19" s="127"/>
      <c r="G19" s="127"/>
      <c r="H19" s="127"/>
      <c r="I19" s="127"/>
      <c r="J19" s="128"/>
    </row>
    <row r="20" spans="1:14" ht="48" customHeight="1" thickBot="1" x14ac:dyDescent="0.3">
      <c r="A20" s="200"/>
      <c r="B20" s="181"/>
      <c r="C20" s="181"/>
      <c r="D20" s="177"/>
      <c r="E20" s="129"/>
      <c r="F20" s="130"/>
      <c r="G20" s="130"/>
      <c r="H20" s="130"/>
      <c r="I20" s="130"/>
      <c r="J20" s="131"/>
    </row>
    <row r="21" spans="1:14" ht="15.75" customHeight="1" x14ac:dyDescent="0.25">
      <c r="A21" s="201" t="s">
        <v>46</v>
      </c>
      <c r="B21" s="154"/>
      <c r="C21" s="202" t="s">
        <v>25</v>
      </c>
      <c r="D21" s="154"/>
      <c r="E21" s="202" t="s">
        <v>47</v>
      </c>
      <c r="F21" s="197"/>
      <c r="G21" s="154"/>
      <c r="H21" s="202" t="s">
        <v>29</v>
      </c>
      <c r="I21" s="197"/>
      <c r="J21" s="175"/>
    </row>
    <row r="22" spans="1:14" ht="14.25" customHeight="1" x14ac:dyDescent="0.25">
      <c r="A22" s="203" t="s">
        <v>48</v>
      </c>
      <c r="B22" s="183"/>
      <c r="C22" s="204" t="str">
        <f>'input data'!B19</f>
        <v>MUNDRA</v>
      </c>
      <c r="D22" s="183"/>
      <c r="E22" s="179" t="s">
        <v>49</v>
      </c>
      <c r="F22" s="168"/>
      <c r="G22" s="183"/>
      <c r="H22" s="179" t="str">
        <f>'input data'!B23</f>
        <v>ECUADOR</v>
      </c>
      <c r="I22" s="168"/>
      <c r="J22" s="170"/>
    </row>
    <row r="23" spans="1:14" ht="15" customHeight="1" thickBot="1" x14ac:dyDescent="0.3">
      <c r="A23" s="182"/>
      <c r="B23" s="183"/>
      <c r="C23" s="180"/>
      <c r="D23" s="177"/>
      <c r="E23" s="180"/>
      <c r="F23" s="181"/>
      <c r="G23" s="177"/>
      <c r="H23" s="180"/>
      <c r="I23" s="181"/>
      <c r="J23" s="178"/>
    </row>
    <row r="24" spans="1:14" ht="15.75" customHeight="1" x14ac:dyDescent="0.25">
      <c r="A24" s="195" t="s">
        <v>50</v>
      </c>
      <c r="B24" s="154"/>
      <c r="C24" s="196" t="s">
        <v>26</v>
      </c>
      <c r="D24" s="154"/>
      <c r="E24" s="153" t="s">
        <v>27</v>
      </c>
      <c r="F24" s="197"/>
      <c r="G24" s="154"/>
      <c r="H24" s="196" t="s">
        <v>28</v>
      </c>
      <c r="I24" s="197"/>
      <c r="J24" s="175"/>
    </row>
    <row r="25" spans="1:14" ht="15.75" customHeight="1" thickBot="1" x14ac:dyDescent="0.3">
      <c r="A25" s="184"/>
      <c r="B25" s="177"/>
      <c r="C25" s="176" t="str">
        <f>'input data'!B20</f>
        <v>MUNDRA</v>
      </c>
      <c r="D25" s="177"/>
      <c r="E25" s="176" t="str">
        <f>'input data'!B21</f>
        <v>GUAYAQUIL</v>
      </c>
      <c r="F25" s="181"/>
      <c r="G25" s="177"/>
      <c r="H25" s="176" t="str">
        <f>'input data'!B22</f>
        <v>GUAYAQUIL</v>
      </c>
      <c r="I25" s="181"/>
      <c r="J25" s="178"/>
    </row>
    <row r="26" spans="1:14" ht="15.75" customHeight="1" x14ac:dyDescent="0.25">
      <c r="A26" s="151" t="s">
        <v>51</v>
      </c>
      <c r="B26" s="185" t="s">
        <v>52</v>
      </c>
      <c r="C26" s="186"/>
      <c r="D26" s="186"/>
      <c r="E26" s="187"/>
      <c r="F26" s="153" t="s">
        <v>53</v>
      </c>
      <c r="G26" s="154"/>
      <c r="H26" s="19" t="s">
        <v>32</v>
      </c>
      <c r="I26" s="153" t="s">
        <v>54</v>
      </c>
      <c r="J26" s="175"/>
    </row>
    <row r="27" spans="1:14" ht="15.75" customHeight="1" thickBot="1" x14ac:dyDescent="0.3">
      <c r="A27" s="152"/>
      <c r="B27" s="188"/>
      <c r="C27" s="189"/>
      <c r="D27" s="189"/>
      <c r="E27" s="190"/>
      <c r="F27" s="176" t="s">
        <v>55</v>
      </c>
      <c r="G27" s="177"/>
      <c r="H27" s="20" t="s">
        <v>55</v>
      </c>
      <c r="I27" s="176" t="s">
        <v>56</v>
      </c>
      <c r="J27" s="178"/>
    </row>
    <row r="28" spans="1:14" ht="34.5" customHeight="1" thickBot="1" x14ac:dyDescent="0.3">
      <c r="A28" s="106">
        <v>1</v>
      </c>
      <c r="B28" s="114" t="s">
        <v>174</v>
      </c>
      <c r="C28" s="115"/>
      <c r="D28" s="115"/>
      <c r="E28" s="116"/>
      <c r="F28" s="145">
        <f>'input data'!B27</f>
        <v>155.75</v>
      </c>
      <c r="G28" s="146"/>
      <c r="H28" s="108">
        <f>'input data'!B28</f>
        <v>16.2</v>
      </c>
      <c r="I28" s="147">
        <f>F28*H28</f>
        <v>2523.15</v>
      </c>
      <c r="J28" s="148"/>
    </row>
    <row r="29" spans="1:14" ht="33" customHeight="1" thickBot="1" x14ac:dyDescent="0.3">
      <c r="A29" s="107">
        <v>2</v>
      </c>
      <c r="B29" s="117" t="s">
        <v>175</v>
      </c>
      <c r="C29" s="118"/>
      <c r="D29" s="118"/>
      <c r="E29" s="119"/>
      <c r="F29" s="149">
        <f>'input data'!B30</f>
        <v>168</v>
      </c>
      <c r="G29" s="150"/>
      <c r="H29" s="108">
        <f>'input data'!B31</f>
        <v>14.9</v>
      </c>
      <c r="I29" s="147">
        <f t="shared" ref="I29:I30" si="0">F29*H29</f>
        <v>2503.2000000000003</v>
      </c>
      <c r="J29" s="148"/>
    </row>
    <row r="30" spans="1:14" ht="33.75" customHeight="1" thickBot="1" x14ac:dyDescent="0.3">
      <c r="A30" s="107">
        <v>3</v>
      </c>
      <c r="B30" s="120" t="s">
        <v>176</v>
      </c>
      <c r="C30" s="121"/>
      <c r="D30" s="121"/>
      <c r="E30" s="122"/>
      <c r="F30" s="145">
        <f>'input data'!B33</f>
        <v>159.25</v>
      </c>
      <c r="G30" s="146"/>
      <c r="H30" s="109">
        <f>'input data'!B34</f>
        <v>23.2</v>
      </c>
      <c r="I30" s="147">
        <f t="shared" si="0"/>
        <v>3694.6</v>
      </c>
      <c r="J30" s="148"/>
    </row>
    <row r="31" spans="1:14" ht="15.75" customHeight="1" x14ac:dyDescent="0.25">
      <c r="A31" s="71" t="s">
        <v>30</v>
      </c>
      <c r="B31" s="44"/>
      <c r="C31" s="44" t="s">
        <v>31</v>
      </c>
      <c r="D31" s="44" t="s">
        <v>57</v>
      </c>
      <c r="E31" s="44" t="s">
        <v>58</v>
      </c>
      <c r="F31" s="44"/>
      <c r="G31" s="44"/>
      <c r="H31" s="57"/>
      <c r="I31" s="51"/>
      <c r="J31" s="52"/>
    </row>
    <row r="32" spans="1:14" ht="15.75" customHeight="1" x14ac:dyDescent="0.25">
      <c r="A32" s="167" t="str">
        <f>UPPER('input data'!B24)</f>
        <v>MSDU1249256</v>
      </c>
      <c r="B32" s="168"/>
      <c r="C32" s="68">
        <f>'input data'!B25</f>
        <v>276</v>
      </c>
      <c r="D32" s="44" t="s">
        <v>59</v>
      </c>
      <c r="E32" s="44" t="s">
        <v>171</v>
      </c>
      <c r="F32" s="44"/>
      <c r="G32" s="44"/>
      <c r="H32" s="57"/>
      <c r="I32" s="44"/>
      <c r="J32" s="54"/>
    </row>
    <row r="33" spans="1:12" ht="15.75" customHeight="1" thickBot="1" x14ac:dyDescent="0.3">
      <c r="A33" s="71"/>
      <c r="B33" s="44"/>
      <c r="C33" s="44"/>
      <c r="D33" s="44"/>
      <c r="E33" s="44"/>
      <c r="F33" s="44"/>
      <c r="G33" s="44"/>
      <c r="H33" s="57"/>
      <c r="I33" s="49"/>
      <c r="J33" s="56"/>
    </row>
    <row r="34" spans="1:12" ht="15.75" customHeight="1" x14ac:dyDescent="0.25">
      <c r="A34" s="58" t="s">
        <v>60</v>
      </c>
      <c r="B34" s="51"/>
      <c r="C34" s="51"/>
      <c r="D34" s="51"/>
      <c r="E34" s="51"/>
      <c r="F34" s="51"/>
      <c r="G34" s="51"/>
      <c r="H34" s="52"/>
      <c r="I34" s="169">
        <f>SUM(I28:J33)</f>
        <v>8720.9500000000007</v>
      </c>
      <c r="J34" s="170"/>
    </row>
    <row r="35" spans="1:12" ht="15.75" customHeight="1" thickBot="1" x14ac:dyDescent="0.3">
      <c r="A35" s="172" t="s">
        <v>168</v>
      </c>
      <c r="B35" s="173"/>
      <c r="C35" s="173"/>
      <c r="D35" s="173"/>
      <c r="E35" s="173"/>
      <c r="F35" s="173"/>
      <c r="G35" s="173"/>
      <c r="H35" s="174"/>
      <c r="I35" s="171"/>
      <c r="J35" s="170"/>
    </row>
    <row r="36" spans="1:12" s="91" customFormat="1" ht="15.75" customHeight="1" x14ac:dyDescent="0.25">
      <c r="A36" s="136" t="s">
        <v>150</v>
      </c>
      <c r="B36" s="137"/>
      <c r="C36" s="137"/>
      <c r="D36" s="137"/>
      <c r="E36" s="137"/>
      <c r="F36" s="137"/>
      <c r="G36" s="137"/>
      <c r="H36" s="137"/>
      <c r="I36" s="137"/>
      <c r="J36" s="138"/>
    </row>
    <row r="37" spans="1:12" s="91" customFormat="1" ht="15.75" customHeight="1" x14ac:dyDescent="0.25">
      <c r="A37" s="99" t="s">
        <v>143</v>
      </c>
      <c r="B37" s="92"/>
      <c r="C37" s="92"/>
      <c r="D37" s="92"/>
      <c r="E37" s="92" t="s">
        <v>146</v>
      </c>
      <c r="F37" s="95"/>
      <c r="G37" s="95"/>
      <c r="H37" s="95"/>
      <c r="I37" s="95"/>
      <c r="J37" s="96"/>
    </row>
    <row r="38" spans="1:12" s="91" customFormat="1" ht="15.75" customHeight="1" x14ac:dyDescent="0.25">
      <c r="A38" s="99" t="s">
        <v>144</v>
      </c>
      <c r="B38" s="95"/>
      <c r="C38" s="95"/>
      <c r="D38" s="95"/>
      <c r="E38" s="92" t="s">
        <v>147</v>
      </c>
      <c r="F38" s="95"/>
      <c r="G38" s="95"/>
      <c r="H38" s="95"/>
      <c r="I38" s="95"/>
      <c r="J38" s="96"/>
    </row>
    <row r="39" spans="1:12" s="91" customFormat="1" ht="15.75" customHeight="1" thickBot="1" x14ac:dyDescent="0.3">
      <c r="A39" s="100" t="s">
        <v>145</v>
      </c>
      <c r="B39" s="101"/>
      <c r="C39" s="101"/>
      <c r="D39" s="101"/>
      <c r="E39" s="102" t="s">
        <v>148</v>
      </c>
      <c r="F39" s="101"/>
      <c r="G39" s="101"/>
      <c r="H39" s="101"/>
      <c r="I39" s="101"/>
      <c r="J39" s="103"/>
    </row>
    <row r="40" spans="1:12" ht="15.75" customHeight="1" thickBot="1" x14ac:dyDescent="0.3">
      <c r="A40" s="139" t="s">
        <v>61</v>
      </c>
      <c r="B40" s="140"/>
      <c r="C40" s="140"/>
      <c r="D40" s="141"/>
      <c r="E40" s="142" t="s">
        <v>104</v>
      </c>
      <c r="F40" s="143"/>
      <c r="G40" s="143"/>
      <c r="H40" s="143"/>
      <c r="I40" s="143"/>
      <c r="J40" s="144"/>
      <c r="L40" s="91"/>
    </row>
    <row r="41" spans="1:12" ht="19.5" customHeight="1" x14ac:dyDescent="0.25">
      <c r="A41" s="155" t="s">
        <v>62</v>
      </c>
      <c r="B41" s="156"/>
      <c r="C41" s="156"/>
      <c r="D41" s="157"/>
      <c r="E41" s="50" t="s">
        <v>105</v>
      </c>
      <c r="F41" s="51"/>
      <c r="G41" s="51"/>
      <c r="H41" s="51"/>
      <c r="I41" s="51"/>
      <c r="J41" s="52"/>
      <c r="L41" s="91"/>
    </row>
    <row r="42" spans="1:12" ht="19.5" customHeight="1" x14ac:dyDescent="0.25">
      <c r="A42" s="158"/>
      <c r="B42" s="159"/>
      <c r="C42" s="159"/>
      <c r="D42" s="160"/>
      <c r="E42" s="53"/>
      <c r="F42" s="44"/>
      <c r="G42" s="44"/>
      <c r="H42" s="44"/>
      <c r="I42" s="44"/>
      <c r="J42" s="54"/>
    </row>
    <row r="43" spans="1:12" ht="15.75" customHeight="1" x14ac:dyDescent="0.25">
      <c r="A43" s="161" t="s">
        <v>63</v>
      </c>
      <c r="B43" s="162"/>
      <c r="C43" s="162"/>
      <c r="D43" s="163"/>
      <c r="E43" s="53"/>
      <c r="F43" s="44"/>
      <c r="G43" s="44"/>
      <c r="H43" s="44"/>
      <c r="I43" s="44"/>
      <c r="J43" s="54"/>
    </row>
    <row r="44" spans="1:12" ht="18.75" customHeight="1" thickBot="1" x14ac:dyDescent="0.3">
      <c r="A44" s="164"/>
      <c r="B44" s="165"/>
      <c r="C44" s="165"/>
      <c r="D44" s="166"/>
      <c r="E44" s="73" t="s">
        <v>64</v>
      </c>
      <c r="F44" s="49"/>
      <c r="G44" s="49"/>
      <c r="H44" s="49"/>
      <c r="I44" s="49"/>
      <c r="J44" s="56"/>
    </row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65">
    <mergeCell ref="A1:J2"/>
    <mergeCell ref="E3:G3"/>
    <mergeCell ref="H3:J3"/>
    <mergeCell ref="E4:G4"/>
    <mergeCell ref="H4:J4"/>
    <mergeCell ref="E5:G5"/>
    <mergeCell ref="H5:J5"/>
    <mergeCell ref="E6:G6"/>
    <mergeCell ref="H6:J6"/>
    <mergeCell ref="E10:G10"/>
    <mergeCell ref="H10:J10"/>
    <mergeCell ref="E7:G7"/>
    <mergeCell ref="H7:J7"/>
    <mergeCell ref="E8:G8"/>
    <mergeCell ref="H8:J8"/>
    <mergeCell ref="E9:G9"/>
    <mergeCell ref="H9:J9"/>
    <mergeCell ref="E11:G11"/>
    <mergeCell ref="H11:J11"/>
    <mergeCell ref="A24:B24"/>
    <mergeCell ref="C24:D24"/>
    <mergeCell ref="E24:G24"/>
    <mergeCell ref="H24:J24"/>
    <mergeCell ref="A15:D20"/>
    <mergeCell ref="A21:B21"/>
    <mergeCell ref="C21:D21"/>
    <mergeCell ref="E21:G21"/>
    <mergeCell ref="H21:J21"/>
    <mergeCell ref="A22:B22"/>
    <mergeCell ref="C22:D23"/>
    <mergeCell ref="E22:G23"/>
    <mergeCell ref="E12:G13"/>
    <mergeCell ref="H12:J13"/>
    <mergeCell ref="A41:D42"/>
    <mergeCell ref="A43:D44"/>
    <mergeCell ref="F30:G30"/>
    <mergeCell ref="I30:J30"/>
    <mergeCell ref="A32:B32"/>
    <mergeCell ref="I34:J35"/>
    <mergeCell ref="A35:H35"/>
    <mergeCell ref="A5:D13"/>
    <mergeCell ref="A36:J36"/>
    <mergeCell ref="A40:D40"/>
    <mergeCell ref="E40:J40"/>
    <mergeCell ref="F28:G28"/>
    <mergeCell ref="I28:J28"/>
    <mergeCell ref="F29:G29"/>
    <mergeCell ref="I29:J29"/>
    <mergeCell ref="A26:A27"/>
    <mergeCell ref="F26:G26"/>
    <mergeCell ref="I26:J26"/>
    <mergeCell ref="F27:G27"/>
    <mergeCell ref="I27:J27"/>
    <mergeCell ref="H22:J23"/>
    <mergeCell ref="A23:B23"/>
    <mergeCell ref="A25:B25"/>
    <mergeCell ref="B28:E28"/>
    <mergeCell ref="B29:E29"/>
    <mergeCell ref="B30:E30"/>
    <mergeCell ref="E14:J14"/>
    <mergeCell ref="E15:J20"/>
    <mergeCell ref="C25:D25"/>
    <mergeCell ref="E25:G25"/>
    <mergeCell ref="H25:J25"/>
    <mergeCell ref="B26:E27"/>
  </mergeCells>
  <conditionalFormatting sqref="A35:A36">
    <cfRule type="containsBlanks" dxfId="0" priority="1">
      <formula>LEN(TRIM(A35))=0</formula>
    </cfRule>
  </conditionalFormatting>
  <pageMargins left="0.7" right="0.7" top="0.75" bottom="0.75" header="0.3" footer="0.3"/>
  <pageSetup scale="9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4"/>
  <sheetViews>
    <sheetView showGridLines="0" tabSelected="1" workbookViewId="0">
      <selection sqref="A1:J37"/>
    </sheetView>
  </sheetViews>
  <sheetFormatPr defaultColWidth="14.42578125" defaultRowHeight="15" customHeight="1" x14ac:dyDescent="0.25"/>
  <cols>
    <col min="1" max="2" width="8.7109375" customWidth="1"/>
    <col min="3" max="3" width="7.140625" customWidth="1"/>
    <col min="4" max="4" width="8.7109375" customWidth="1"/>
    <col min="5" max="5" width="7" customWidth="1"/>
    <col min="6" max="6" width="10" customWidth="1"/>
    <col min="7" max="7" width="8.7109375" customWidth="1"/>
    <col min="8" max="8" width="12.85546875" customWidth="1"/>
    <col min="9" max="9" width="8.7109375" customWidth="1"/>
    <col min="10" max="10" width="15.42578125" customWidth="1"/>
    <col min="11" max="26" width="8.7109375" customWidth="1"/>
  </cols>
  <sheetData>
    <row r="1" spans="1:10" ht="21" x14ac:dyDescent="0.35">
      <c r="A1" s="285" t="s">
        <v>65</v>
      </c>
      <c r="B1" s="113"/>
      <c r="C1" s="113"/>
      <c r="D1" s="113"/>
      <c r="E1" s="113"/>
      <c r="F1" s="113"/>
      <c r="G1" s="113"/>
      <c r="H1" s="113"/>
      <c r="I1" s="113"/>
      <c r="J1" s="113"/>
    </row>
    <row r="2" spans="1:10" x14ac:dyDescent="0.25">
      <c r="A2" s="286" t="s">
        <v>66</v>
      </c>
      <c r="B2" s="192"/>
      <c r="C2" s="192"/>
      <c r="D2" s="192"/>
      <c r="E2" s="192"/>
      <c r="F2" s="221"/>
      <c r="G2" s="220" t="s">
        <v>35</v>
      </c>
      <c r="H2" s="221"/>
      <c r="I2" s="287" t="s">
        <v>36</v>
      </c>
      <c r="J2" s="193"/>
    </row>
    <row r="3" spans="1:10" ht="16.5" thickBot="1" x14ac:dyDescent="0.3">
      <c r="A3" s="288" t="s">
        <v>103</v>
      </c>
      <c r="B3" s="168"/>
      <c r="C3" s="168"/>
      <c r="D3" s="168"/>
      <c r="E3" s="168"/>
      <c r="F3" s="183"/>
      <c r="G3" s="222" t="str">
        <f>'input data'!B3</f>
        <v>BK002/25-26</v>
      </c>
      <c r="H3" s="177"/>
      <c r="I3" s="223">
        <f>'input data'!B4</f>
        <v>45945</v>
      </c>
      <c r="J3" s="225"/>
    </row>
    <row r="4" spans="1:10" x14ac:dyDescent="0.25">
      <c r="A4" s="198" t="s">
        <v>152</v>
      </c>
      <c r="B4" s="263"/>
      <c r="C4" s="263"/>
      <c r="D4" s="263"/>
      <c r="E4" s="263"/>
      <c r="F4" s="264"/>
      <c r="G4" s="268" t="s">
        <v>37</v>
      </c>
      <c r="H4" s="197"/>
      <c r="I4" s="197"/>
      <c r="J4" s="175"/>
    </row>
    <row r="5" spans="1:10" ht="15.75" thickBot="1" x14ac:dyDescent="0.3">
      <c r="A5" s="198"/>
      <c r="B5" s="263"/>
      <c r="C5" s="263"/>
      <c r="D5" s="263"/>
      <c r="E5" s="263"/>
      <c r="F5" s="264"/>
      <c r="G5" s="176" t="str">
        <f>'input data'!B6</f>
        <v>AD240725023182F</v>
      </c>
      <c r="H5" s="181"/>
      <c r="I5" s="181"/>
      <c r="J5" s="178"/>
    </row>
    <row r="6" spans="1:10" ht="15.75" thickBot="1" x14ac:dyDescent="0.3">
      <c r="A6" s="198"/>
      <c r="B6" s="263"/>
      <c r="C6" s="263"/>
      <c r="D6" s="263"/>
      <c r="E6" s="263"/>
      <c r="F6" s="264"/>
      <c r="G6" s="75"/>
      <c r="H6" s="76"/>
      <c r="I6" s="76"/>
      <c r="J6" s="77"/>
    </row>
    <row r="7" spans="1:10" x14ac:dyDescent="0.25">
      <c r="A7" s="198"/>
      <c r="B7" s="263"/>
      <c r="C7" s="263"/>
      <c r="D7" s="263"/>
      <c r="E7" s="263"/>
      <c r="F7" s="264"/>
      <c r="G7" s="24" t="s">
        <v>67</v>
      </c>
      <c r="H7" s="15"/>
      <c r="I7" s="15"/>
      <c r="J7" s="78"/>
    </row>
    <row r="8" spans="1:10" ht="15.75" x14ac:dyDescent="0.25">
      <c r="A8" s="198"/>
      <c r="B8" s="263"/>
      <c r="C8" s="263"/>
      <c r="D8" s="263"/>
      <c r="E8" s="263"/>
      <c r="F8" s="264"/>
      <c r="G8" s="79" t="s">
        <v>107</v>
      </c>
      <c r="H8" s="80"/>
      <c r="I8" s="80"/>
      <c r="J8" s="81"/>
    </row>
    <row r="9" spans="1:10" ht="15.75" x14ac:dyDescent="0.25">
      <c r="A9" s="198"/>
      <c r="B9" s="263"/>
      <c r="C9" s="263"/>
      <c r="D9" s="263"/>
      <c r="E9" s="263"/>
      <c r="F9" s="264"/>
      <c r="G9" s="79" t="s">
        <v>127</v>
      </c>
      <c r="H9" s="80"/>
      <c r="I9" s="80"/>
      <c r="J9" s="81"/>
    </row>
    <row r="10" spans="1:10" ht="15.75" thickBot="1" x14ac:dyDescent="0.3">
      <c r="A10" s="265"/>
      <c r="B10" s="266"/>
      <c r="C10" s="266"/>
      <c r="D10" s="266"/>
      <c r="E10" s="266"/>
      <c r="F10" s="267"/>
      <c r="G10" s="53"/>
      <c r="H10" s="44"/>
      <c r="I10" s="44"/>
      <c r="J10" s="54"/>
    </row>
    <row r="11" spans="1:10" x14ac:dyDescent="0.25">
      <c r="A11" s="269" t="s">
        <v>42</v>
      </c>
      <c r="B11" s="197"/>
      <c r="C11" s="197"/>
      <c r="D11" s="197"/>
      <c r="E11" s="197"/>
      <c r="F11" s="15"/>
      <c r="G11" s="97" t="s">
        <v>45</v>
      </c>
      <c r="H11" s="51"/>
      <c r="I11" s="51"/>
      <c r="J11" s="52"/>
    </row>
    <row r="12" spans="1:10" ht="15" customHeight="1" x14ac:dyDescent="0.25">
      <c r="A12" s="245" t="str">
        <f>'input data'!B7</f>
        <v>ZHIÑIN MENDIETA ROSA LOURDES
RUC: 0105370399001
DIRECCIÓN: Barrio: HUISHIL ALTO Calle: 1 DE SEPTIEMBRE
Número: S/N Intersección: BUENA ESPERANZA
Referencia: DIAGONAL A LA HOSTERIA CABALLO CAMPANA
Cuenca - Ecuador</v>
      </c>
      <c r="B12" s="246"/>
      <c r="C12" s="246"/>
      <c r="D12" s="246"/>
      <c r="E12" s="246"/>
      <c r="F12" s="246"/>
      <c r="G12" s="245"/>
      <c r="H12" s="246"/>
      <c r="I12" s="246"/>
      <c r="J12" s="247"/>
    </row>
    <row r="13" spans="1:10" ht="108.75" customHeight="1" thickBot="1" x14ac:dyDescent="0.3">
      <c r="A13" s="251"/>
      <c r="B13" s="252"/>
      <c r="C13" s="252"/>
      <c r="D13" s="246"/>
      <c r="E13" s="246"/>
      <c r="F13" s="246"/>
      <c r="G13" s="248"/>
      <c r="H13" s="249"/>
      <c r="I13" s="249"/>
      <c r="J13" s="250"/>
    </row>
    <row r="14" spans="1:10" ht="22.5" customHeight="1" x14ac:dyDescent="0.25">
      <c r="A14" s="253" t="s">
        <v>70</v>
      </c>
      <c r="B14" s="254"/>
      <c r="C14" s="254"/>
      <c r="D14" s="232" t="s">
        <v>71</v>
      </c>
      <c r="E14" s="256"/>
      <c r="F14" s="257"/>
      <c r="G14" s="232" t="s">
        <v>68</v>
      </c>
      <c r="H14" s="233"/>
      <c r="I14" s="234" t="s">
        <v>69</v>
      </c>
      <c r="J14" s="235"/>
    </row>
    <row r="15" spans="1:10" ht="15" customHeight="1" thickBot="1" x14ac:dyDescent="0.3">
      <c r="A15" s="184"/>
      <c r="B15" s="255"/>
      <c r="C15" s="255"/>
      <c r="D15" s="258" t="str">
        <f>'input data'!B19</f>
        <v>MUNDRA</v>
      </c>
      <c r="E15" s="259"/>
      <c r="F15" s="260"/>
      <c r="G15" s="236" t="s">
        <v>49</v>
      </c>
      <c r="H15" s="237"/>
      <c r="I15" s="238" t="str">
        <f>'input data'!B23</f>
        <v>ECUADOR</v>
      </c>
      <c r="J15" s="239"/>
    </row>
    <row r="16" spans="1:10" ht="16.5" customHeight="1" x14ac:dyDescent="0.25">
      <c r="A16" s="253" t="s">
        <v>72</v>
      </c>
      <c r="B16" s="254"/>
      <c r="C16" s="254"/>
      <c r="D16" s="261" t="s">
        <v>73</v>
      </c>
      <c r="E16" s="262"/>
      <c r="F16" s="262"/>
      <c r="G16" s="240" t="s">
        <v>154</v>
      </c>
      <c r="H16" s="241"/>
      <c r="I16" s="241"/>
      <c r="J16" s="235"/>
    </row>
    <row r="17" spans="1:10" ht="15.75" customHeight="1" thickBot="1" x14ac:dyDescent="0.3">
      <c r="A17" s="167"/>
      <c r="B17" s="171"/>
      <c r="C17" s="171"/>
      <c r="D17" s="182" t="str">
        <f>'input data'!B19</f>
        <v>MUNDRA</v>
      </c>
      <c r="E17" s="270"/>
      <c r="F17" s="270"/>
      <c r="G17" s="182" t="str">
        <f>'input data'!B17</f>
        <v>FOB</v>
      </c>
      <c r="H17" s="270"/>
      <c r="I17" s="270"/>
      <c r="J17" s="271"/>
    </row>
    <row r="18" spans="1:10" ht="15.75" customHeight="1" x14ac:dyDescent="0.25">
      <c r="A18" s="272" t="s">
        <v>27</v>
      </c>
      <c r="B18" s="273"/>
      <c r="C18" s="273"/>
      <c r="D18" s="272" t="s">
        <v>28</v>
      </c>
      <c r="E18" s="273"/>
      <c r="F18" s="274"/>
      <c r="G18" s="256" t="s">
        <v>74</v>
      </c>
      <c r="H18" s="256"/>
      <c r="I18" s="256"/>
      <c r="J18" s="257"/>
    </row>
    <row r="19" spans="1:10" ht="15.75" customHeight="1" x14ac:dyDescent="0.25">
      <c r="A19" s="275" t="str">
        <f>'input data'!B21</f>
        <v>GUAYAQUIL</v>
      </c>
      <c r="B19" s="276"/>
      <c r="C19" s="276"/>
      <c r="D19" s="275" t="str">
        <f>'input data'!B22</f>
        <v>GUAYAQUIL</v>
      </c>
      <c r="E19" s="276"/>
      <c r="F19" s="279"/>
      <c r="G19" s="281" t="str">
        <f>'input data'!B18</f>
        <v>30% Advance and Remaining Against BL within 7 days</v>
      </c>
      <c r="H19" s="281"/>
      <c r="I19" s="281"/>
      <c r="J19" s="282"/>
    </row>
    <row r="20" spans="1:10" ht="15.75" customHeight="1" thickBot="1" x14ac:dyDescent="0.3">
      <c r="A20" s="277"/>
      <c r="B20" s="278"/>
      <c r="C20" s="278"/>
      <c r="D20" s="277"/>
      <c r="E20" s="278"/>
      <c r="F20" s="280"/>
      <c r="G20" s="283"/>
      <c r="H20" s="283"/>
      <c r="I20" s="283"/>
      <c r="J20" s="284"/>
    </row>
    <row r="21" spans="1:10" ht="15.75" customHeight="1" thickBot="1" x14ac:dyDescent="0.3">
      <c r="A21" s="98"/>
      <c r="B21" s="45"/>
      <c r="C21" s="45"/>
      <c r="D21" s="45"/>
      <c r="E21" s="45"/>
      <c r="F21" s="45"/>
      <c r="G21" s="28"/>
      <c r="H21" s="28"/>
      <c r="I21" s="28"/>
      <c r="J21" s="82"/>
    </row>
    <row r="22" spans="1:10" ht="15.75" customHeight="1" thickBot="1" x14ac:dyDescent="0.3">
      <c r="A22" s="83" t="s">
        <v>51</v>
      </c>
      <c r="B22" s="242" t="s">
        <v>173</v>
      </c>
      <c r="C22" s="243"/>
      <c r="D22" s="243"/>
      <c r="E22" s="243"/>
      <c r="F22" s="243"/>
      <c r="G22" s="243"/>
      <c r="H22" s="244"/>
      <c r="I22" s="176" t="s">
        <v>55</v>
      </c>
      <c r="J22" s="178"/>
    </row>
    <row r="23" spans="1:10" ht="33" customHeight="1" thickBot="1" x14ac:dyDescent="0.3">
      <c r="A23" s="72">
        <v>1</v>
      </c>
      <c r="B23" s="226" t="str">
        <f>'Invoice rockstone'!B28</f>
        <v>Black Forest Granite Slabs (Polished)
Size: 2.50 Length X 0.70 Height, Thickness : 18 mm</v>
      </c>
      <c r="C23" s="227"/>
      <c r="D23" s="227"/>
      <c r="E23" s="227"/>
      <c r="F23" s="227"/>
      <c r="G23" s="227"/>
      <c r="H23" s="228"/>
      <c r="I23" s="229">
        <f>'Invoice rockstone'!F28</f>
        <v>155.75</v>
      </c>
      <c r="J23" s="148"/>
    </row>
    <row r="24" spans="1:10" s="55" customFormat="1" ht="30.75" customHeight="1" thickBot="1" x14ac:dyDescent="0.3">
      <c r="A24" s="72">
        <v>2</v>
      </c>
      <c r="B24" s="226" t="str">
        <f>'Invoice rockstone'!B29</f>
        <v>P White Granite Slabs (Polished)
Size: 2.50 Length X 0.70 Height, Thickness : 18 mm</v>
      </c>
      <c r="C24" s="227"/>
      <c r="D24" s="227"/>
      <c r="E24" s="227"/>
      <c r="F24" s="227"/>
      <c r="G24" s="227"/>
      <c r="H24" s="228"/>
      <c r="I24" s="229">
        <f>'Invoice rockstone'!F29</f>
        <v>168</v>
      </c>
      <c r="J24" s="148"/>
    </row>
    <row r="25" spans="1:10" s="55" customFormat="1" ht="32.25" customHeight="1" thickBot="1" x14ac:dyDescent="0.3">
      <c r="A25" s="72">
        <v>3</v>
      </c>
      <c r="B25" s="226" t="str">
        <f>'Invoice rockstone'!B30</f>
        <v>Alaska White Granite Slabs (Polished)
Size: 2.50 Length X 0.70 Height, Thickness : 18 mm</v>
      </c>
      <c r="C25" s="227"/>
      <c r="D25" s="227"/>
      <c r="E25" s="227"/>
      <c r="F25" s="227"/>
      <c r="G25" s="227"/>
      <c r="H25" s="228"/>
      <c r="I25" s="229">
        <f>'Invoice rockstone'!F30</f>
        <v>159.25</v>
      </c>
      <c r="J25" s="148"/>
    </row>
    <row r="26" spans="1:10" ht="15.75" customHeight="1" thickBot="1" x14ac:dyDescent="0.3">
      <c r="A26" s="84" t="s">
        <v>75</v>
      </c>
      <c r="B26" s="28"/>
      <c r="C26" s="28"/>
      <c r="D26" s="28"/>
      <c r="E26" s="28"/>
      <c r="F26" s="28"/>
      <c r="G26" s="28"/>
      <c r="H26" s="28"/>
      <c r="I26" s="230">
        <f>SUM(I23:J25)</f>
        <v>483</v>
      </c>
      <c r="J26" s="231"/>
    </row>
    <row r="27" spans="1:10" ht="15.75" customHeight="1" x14ac:dyDescent="0.25">
      <c r="A27" s="48"/>
      <c r="B27" s="44"/>
      <c r="C27" s="44"/>
      <c r="D27" s="44"/>
      <c r="E27" s="44"/>
      <c r="F27" s="44"/>
      <c r="G27" s="44"/>
      <c r="H27" s="44"/>
      <c r="I27" s="76"/>
      <c r="J27" s="77"/>
    </row>
    <row r="28" spans="1:10" ht="15.75" customHeight="1" x14ac:dyDescent="0.25">
      <c r="A28" s="182" t="s">
        <v>76</v>
      </c>
      <c r="B28" s="168"/>
      <c r="C28" s="76" t="s">
        <v>31</v>
      </c>
      <c r="D28" s="270" t="s">
        <v>57</v>
      </c>
      <c r="E28" s="168"/>
      <c r="F28" s="76" t="s">
        <v>58</v>
      </c>
      <c r="G28" s="76"/>
      <c r="H28" s="44"/>
      <c r="I28" s="76"/>
      <c r="J28" s="77"/>
    </row>
    <row r="29" spans="1:10" ht="15.75" customHeight="1" x14ac:dyDescent="0.25">
      <c r="A29" s="167" t="str">
        <f>UPPER('input data'!B24)</f>
        <v>MSDU1249256</v>
      </c>
      <c r="B29" s="168"/>
      <c r="C29" s="69">
        <f>'input data'!B25</f>
        <v>276</v>
      </c>
      <c r="D29" s="292" t="s">
        <v>77</v>
      </c>
      <c r="E29" s="168"/>
      <c r="F29" s="69" t="s">
        <v>172</v>
      </c>
      <c r="G29" s="69"/>
      <c r="H29" s="44"/>
      <c r="I29" s="44"/>
      <c r="J29" s="54"/>
    </row>
    <row r="30" spans="1:10" ht="15.75" customHeight="1" x14ac:dyDescent="0.25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 ht="15.75" customHeight="1" x14ac:dyDescent="0.25">
      <c r="A31" s="85" t="s">
        <v>78</v>
      </c>
      <c r="B31" s="86"/>
      <c r="C31" s="86" t="str">
        <f>'input data'!B15</f>
        <v>Wooden Crate Packing</v>
      </c>
      <c r="D31" s="86"/>
      <c r="E31" s="86"/>
      <c r="F31" s="86"/>
      <c r="G31" s="86"/>
      <c r="H31" s="86"/>
      <c r="I31" s="86"/>
      <c r="J31" s="87"/>
    </row>
    <row r="32" spans="1:10" ht="15.75" customHeight="1" x14ac:dyDescent="0.25">
      <c r="A32" s="85" t="s">
        <v>79</v>
      </c>
      <c r="B32" s="86"/>
      <c r="C32" s="86"/>
      <c r="D32" s="86"/>
      <c r="E32" s="86"/>
      <c r="F32" s="86"/>
      <c r="G32" s="86"/>
      <c r="H32" s="86"/>
      <c r="I32" s="86"/>
      <c r="J32" s="87"/>
    </row>
    <row r="33" spans="1:10" ht="15.75" customHeight="1" x14ac:dyDescent="0.25">
      <c r="A33" s="88"/>
      <c r="B33" s="89"/>
      <c r="C33" s="89"/>
      <c r="D33" s="89"/>
      <c r="E33" s="89"/>
      <c r="F33" s="89"/>
      <c r="G33" s="89"/>
      <c r="H33" s="89"/>
      <c r="I33" s="89"/>
      <c r="J33" s="90"/>
    </row>
    <row r="34" spans="1:10" ht="15.75" customHeight="1" x14ac:dyDescent="0.25">
      <c r="A34" s="293" t="s">
        <v>80</v>
      </c>
      <c r="B34" s="197"/>
      <c r="C34" s="197"/>
      <c r="D34" s="197"/>
      <c r="E34" s="197"/>
      <c r="F34" s="154"/>
      <c r="G34" s="294" t="s">
        <v>104</v>
      </c>
      <c r="H34" s="197"/>
      <c r="I34" s="197"/>
      <c r="J34" s="175"/>
    </row>
    <row r="35" spans="1:10" ht="15.75" customHeight="1" x14ac:dyDescent="0.25">
      <c r="A35" s="161" t="s">
        <v>153</v>
      </c>
      <c r="B35" s="162"/>
      <c r="C35" s="162"/>
      <c r="D35" s="162"/>
      <c r="E35" s="162"/>
      <c r="F35" s="163"/>
      <c r="G35" s="53"/>
      <c r="H35" s="44"/>
      <c r="I35" s="44"/>
      <c r="J35" s="54"/>
    </row>
    <row r="36" spans="1:10" ht="15.75" customHeight="1" x14ac:dyDescent="0.25">
      <c r="A36" s="161"/>
      <c r="B36" s="162"/>
      <c r="C36" s="162"/>
      <c r="D36" s="162"/>
      <c r="E36" s="162"/>
      <c r="F36" s="163"/>
      <c r="G36" s="53"/>
      <c r="H36" s="44"/>
      <c r="I36" s="44"/>
      <c r="J36" s="54"/>
    </row>
    <row r="37" spans="1:10" ht="15.75" customHeight="1" thickBot="1" x14ac:dyDescent="0.3">
      <c r="A37" s="289" t="s">
        <v>81</v>
      </c>
      <c r="B37" s="207"/>
      <c r="C37" s="207"/>
      <c r="D37" s="207"/>
      <c r="E37" s="207"/>
      <c r="F37" s="290"/>
      <c r="G37" s="291" t="s">
        <v>82</v>
      </c>
      <c r="H37" s="207"/>
      <c r="I37" s="207"/>
      <c r="J37" s="208"/>
    </row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mergeCells count="51">
    <mergeCell ref="A37:F37"/>
    <mergeCell ref="G37:J37"/>
    <mergeCell ref="A28:B28"/>
    <mergeCell ref="D28:E28"/>
    <mergeCell ref="A29:B29"/>
    <mergeCell ref="D29:E29"/>
    <mergeCell ref="A34:F34"/>
    <mergeCell ref="G34:J34"/>
    <mergeCell ref="A35:F36"/>
    <mergeCell ref="A1:J1"/>
    <mergeCell ref="A2:F2"/>
    <mergeCell ref="G2:H2"/>
    <mergeCell ref="I2:J2"/>
    <mergeCell ref="A3:F3"/>
    <mergeCell ref="G3:H3"/>
    <mergeCell ref="I3:J3"/>
    <mergeCell ref="A4:F10"/>
    <mergeCell ref="G4:J4"/>
    <mergeCell ref="I22:J22"/>
    <mergeCell ref="G5:J5"/>
    <mergeCell ref="A11:E11"/>
    <mergeCell ref="A17:C17"/>
    <mergeCell ref="D17:F17"/>
    <mergeCell ref="G17:J17"/>
    <mergeCell ref="A18:C18"/>
    <mergeCell ref="D18:F18"/>
    <mergeCell ref="G18:J18"/>
    <mergeCell ref="A19:C20"/>
    <mergeCell ref="D19:F20"/>
    <mergeCell ref="G19:J20"/>
    <mergeCell ref="B22:H22"/>
    <mergeCell ref="G12:J13"/>
    <mergeCell ref="A12:F13"/>
    <mergeCell ref="A14:C14"/>
    <mergeCell ref="A15:C15"/>
    <mergeCell ref="A16:C16"/>
    <mergeCell ref="D14:F14"/>
    <mergeCell ref="D15:F15"/>
    <mergeCell ref="D16:F16"/>
    <mergeCell ref="G14:H14"/>
    <mergeCell ref="I14:J14"/>
    <mergeCell ref="G15:H15"/>
    <mergeCell ref="I15:J15"/>
    <mergeCell ref="G16:J16"/>
    <mergeCell ref="B23:H23"/>
    <mergeCell ref="B24:H24"/>
    <mergeCell ref="B25:H25"/>
    <mergeCell ref="I23:J23"/>
    <mergeCell ref="I26:J26"/>
    <mergeCell ref="I24:J24"/>
    <mergeCell ref="I25:J25"/>
  </mergeCells>
  <pageMargins left="0.25" right="0.25" top="0.75" bottom="0.75" header="0" footer="0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8"/>
  <sheetViews>
    <sheetView zoomScaleNormal="100" workbookViewId="0">
      <selection activeCell="N31" sqref="N31"/>
    </sheetView>
  </sheetViews>
  <sheetFormatPr defaultColWidth="14.42578125" defaultRowHeight="15" customHeight="1" x14ac:dyDescent="0.25"/>
  <cols>
    <col min="1" max="2" width="8.7109375" customWidth="1"/>
    <col min="3" max="3" width="18.85546875" bestFit="1" customWidth="1"/>
    <col min="4" max="16" width="8.7109375" customWidth="1"/>
    <col min="17" max="17" width="17.42578125" customWidth="1"/>
    <col min="18" max="27" width="8.7109375" customWidth="1"/>
  </cols>
  <sheetData>
    <row r="1" spans="1:25" ht="36" x14ac:dyDescent="0.55000000000000004">
      <c r="A1" s="31"/>
      <c r="B1" s="307" t="s">
        <v>103</v>
      </c>
      <c r="C1" s="308"/>
      <c r="D1" s="308"/>
      <c r="E1" s="308"/>
      <c r="F1" s="308"/>
      <c r="G1" s="308"/>
      <c r="H1" s="308"/>
      <c r="I1" s="308"/>
      <c r="J1" s="308"/>
      <c r="K1" s="309"/>
      <c r="R1" s="313"/>
      <c r="S1" s="113"/>
      <c r="T1" s="113"/>
      <c r="U1" s="113"/>
      <c r="V1" s="113"/>
      <c r="W1" s="299"/>
      <c r="X1" s="113"/>
      <c r="Y1" s="113"/>
    </row>
    <row r="2" spans="1:25" ht="36.75" thickBot="1" x14ac:dyDescent="0.6">
      <c r="A2" s="31"/>
      <c r="B2" s="310"/>
      <c r="C2" s="311"/>
      <c r="D2" s="311"/>
      <c r="E2" s="311"/>
      <c r="F2" s="311"/>
      <c r="G2" s="311"/>
      <c r="H2" s="311"/>
      <c r="I2" s="311"/>
      <c r="J2" s="311"/>
      <c r="K2" s="312"/>
    </row>
    <row r="3" spans="1:25" x14ac:dyDescent="0.25">
      <c r="A3" s="32"/>
      <c r="B3" s="300" t="s">
        <v>121</v>
      </c>
      <c r="C3" s="197"/>
      <c r="D3" s="197"/>
      <c r="E3" s="197"/>
      <c r="F3" s="197"/>
      <c r="G3" s="197"/>
      <c r="H3" s="197"/>
      <c r="I3" s="197"/>
      <c r="J3" s="197"/>
      <c r="K3" s="154"/>
    </row>
    <row r="4" spans="1:25" x14ac:dyDescent="0.25">
      <c r="A4" s="32"/>
      <c r="B4" s="301" t="s">
        <v>122</v>
      </c>
      <c r="C4" s="113"/>
      <c r="D4" s="113"/>
      <c r="E4" s="113"/>
      <c r="F4" s="113"/>
      <c r="G4" s="113"/>
      <c r="H4" s="113"/>
      <c r="I4" s="113"/>
      <c r="J4" s="113"/>
      <c r="K4" s="302"/>
    </row>
    <row r="5" spans="1:25" x14ac:dyDescent="0.25">
      <c r="A5" s="29"/>
      <c r="B5" s="303" t="s">
        <v>123</v>
      </c>
      <c r="C5" s="304"/>
      <c r="D5" s="304"/>
      <c r="E5" s="304"/>
      <c r="F5" s="304"/>
      <c r="G5" s="304"/>
      <c r="H5" s="304"/>
      <c r="I5" s="304"/>
      <c r="J5" s="304"/>
      <c r="K5" s="305"/>
    </row>
    <row r="6" spans="1:25" x14ac:dyDescent="0.25">
      <c r="A6" s="4"/>
      <c r="B6" s="24"/>
      <c r="C6" s="15"/>
      <c r="D6" s="15"/>
      <c r="E6" s="15"/>
      <c r="F6" s="15"/>
      <c r="G6" s="15"/>
      <c r="H6" s="15"/>
      <c r="I6" s="15"/>
      <c r="J6" s="15"/>
      <c r="K6" s="16"/>
    </row>
    <row r="7" spans="1:25" ht="18.75" x14ac:dyDescent="0.3">
      <c r="A7" s="33"/>
      <c r="B7" s="306" t="s">
        <v>130</v>
      </c>
      <c r="C7" s="113"/>
      <c r="D7" s="113"/>
      <c r="E7" s="113"/>
      <c r="F7" s="113"/>
      <c r="G7" s="113"/>
      <c r="H7" s="113"/>
      <c r="I7" s="113"/>
      <c r="J7" s="113"/>
      <c r="K7" s="302"/>
    </row>
    <row r="8" spans="1:25" x14ac:dyDescent="0.25">
      <c r="A8" s="4"/>
      <c r="B8" s="17"/>
      <c r="C8" s="4"/>
      <c r="D8" s="4"/>
      <c r="E8" s="4"/>
      <c r="F8" s="4"/>
      <c r="G8" s="4"/>
      <c r="H8" s="4"/>
      <c r="I8" s="4"/>
      <c r="J8" s="4"/>
      <c r="K8" s="18"/>
    </row>
    <row r="9" spans="1:25" x14ac:dyDescent="0.25">
      <c r="A9" s="4"/>
      <c r="B9" s="17" t="s">
        <v>83</v>
      </c>
      <c r="C9" s="42">
        <v>45944</v>
      </c>
      <c r="D9" s="4"/>
      <c r="E9" s="4"/>
      <c r="F9" s="4"/>
      <c r="G9" s="4"/>
      <c r="H9" s="4"/>
      <c r="I9" s="4"/>
      <c r="J9" s="4"/>
      <c r="K9" s="18"/>
    </row>
    <row r="10" spans="1:25" x14ac:dyDescent="0.25">
      <c r="A10" s="4"/>
      <c r="B10" s="17" t="s">
        <v>84</v>
      </c>
      <c r="C10" s="34" t="s">
        <v>159</v>
      </c>
      <c r="D10" s="4"/>
      <c r="E10" s="4"/>
      <c r="F10" s="4"/>
      <c r="G10" s="4"/>
      <c r="H10" s="4"/>
      <c r="I10" s="4"/>
      <c r="J10" s="4"/>
      <c r="K10" s="18"/>
    </row>
    <row r="11" spans="1:25" x14ac:dyDescent="0.25">
      <c r="A11" s="4"/>
      <c r="B11" s="17"/>
      <c r="C11" s="4"/>
      <c r="D11" s="4"/>
      <c r="E11" s="4"/>
      <c r="F11" s="4"/>
      <c r="G11" s="4"/>
      <c r="H11" s="4"/>
      <c r="I11" s="4"/>
      <c r="J11" s="4"/>
      <c r="K11" s="18"/>
    </row>
    <row r="12" spans="1:25" x14ac:dyDescent="0.25">
      <c r="A12" s="4"/>
      <c r="B12" s="17" t="s">
        <v>85</v>
      </c>
      <c r="C12" s="4"/>
      <c r="D12" s="4"/>
      <c r="E12" s="4"/>
      <c r="F12" s="4"/>
      <c r="G12" s="4"/>
      <c r="H12" s="4"/>
      <c r="I12" s="4"/>
      <c r="J12" s="4"/>
      <c r="K12" s="18"/>
    </row>
    <row r="13" spans="1:25" x14ac:dyDescent="0.25">
      <c r="A13" s="14"/>
      <c r="B13" s="295" t="s">
        <v>160</v>
      </c>
      <c r="C13" s="113"/>
      <c r="D13" s="113"/>
      <c r="E13" s="113"/>
      <c r="F13" s="113"/>
      <c r="G13" s="113"/>
      <c r="H13" s="4"/>
      <c r="I13" s="4"/>
      <c r="J13" s="4"/>
      <c r="K13" s="18"/>
    </row>
    <row r="14" spans="1:25" x14ac:dyDescent="0.25">
      <c r="A14" s="35"/>
      <c r="B14" s="296" t="s">
        <v>161</v>
      </c>
      <c r="C14" s="113"/>
      <c r="D14" s="113"/>
      <c r="E14" s="113"/>
      <c r="F14" s="113"/>
      <c r="G14" s="113"/>
      <c r="H14" s="4"/>
      <c r="I14" s="4"/>
      <c r="J14" s="4"/>
      <c r="K14" s="18"/>
    </row>
    <row r="15" spans="1:25" ht="49.5" customHeight="1" x14ac:dyDescent="0.25">
      <c r="A15" s="35"/>
      <c r="B15" s="297"/>
      <c r="C15" s="113"/>
      <c r="D15" s="113"/>
      <c r="E15" s="113"/>
      <c r="F15" s="113"/>
      <c r="G15" s="113"/>
      <c r="H15" s="4"/>
      <c r="I15" s="4"/>
      <c r="J15" s="4"/>
      <c r="K15" s="18"/>
    </row>
    <row r="16" spans="1:25" x14ac:dyDescent="0.25">
      <c r="A16" s="4"/>
      <c r="B16" s="17" t="s">
        <v>86</v>
      </c>
      <c r="C16" s="4"/>
      <c r="D16" s="4"/>
      <c r="E16" s="4"/>
      <c r="F16" s="4"/>
      <c r="G16" s="4"/>
      <c r="H16" s="4"/>
      <c r="I16" s="4"/>
      <c r="J16" s="4"/>
      <c r="K16" s="18"/>
    </row>
    <row r="17" spans="1:14" ht="15.75" thickBot="1" x14ac:dyDescent="0.3">
      <c r="A17" s="4"/>
      <c r="B17" s="22"/>
      <c r="C17" s="23"/>
      <c r="D17" s="23"/>
      <c r="E17" s="23"/>
      <c r="F17" s="23"/>
      <c r="G17" s="23"/>
      <c r="H17" s="23"/>
      <c r="I17" s="23"/>
      <c r="J17" s="23"/>
      <c r="K17" s="21"/>
    </row>
    <row r="18" spans="1:14" ht="15.75" thickBot="1" x14ac:dyDescent="0.3">
      <c r="A18" s="30"/>
      <c r="B18" s="242" t="s">
        <v>87</v>
      </c>
      <c r="C18" s="243"/>
      <c r="D18" s="243"/>
      <c r="E18" s="244"/>
      <c r="F18" s="242" t="s">
        <v>88</v>
      </c>
      <c r="G18" s="298"/>
      <c r="H18" s="242" t="s">
        <v>128</v>
      </c>
      <c r="I18" s="298"/>
      <c r="J18" s="242" t="s">
        <v>89</v>
      </c>
      <c r="K18" s="298"/>
    </row>
    <row r="19" spans="1:14" s="60" customFormat="1" ht="18" customHeight="1" thickBot="1" x14ac:dyDescent="0.3">
      <c r="A19" s="59"/>
      <c r="B19" s="226" t="s">
        <v>131</v>
      </c>
      <c r="C19" s="314"/>
      <c r="D19" s="314"/>
      <c r="E19" s="315"/>
      <c r="F19" s="327">
        <v>99.76</v>
      </c>
      <c r="G19" s="328"/>
      <c r="H19" s="329">
        <v>1808.35</v>
      </c>
      <c r="I19" s="328"/>
      <c r="J19" s="330">
        <f>F19*H19</f>
        <v>180400.99600000001</v>
      </c>
      <c r="K19" s="328"/>
      <c r="N19" s="105"/>
    </row>
    <row r="20" spans="1:14" s="104" customFormat="1" ht="18" customHeight="1" thickBot="1" x14ac:dyDescent="0.3">
      <c r="A20" s="59"/>
      <c r="B20" s="226" t="s">
        <v>131</v>
      </c>
      <c r="C20" s="314"/>
      <c r="D20" s="314"/>
      <c r="E20" s="315"/>
      <c r="F20" s="327">
        <v>99.99</v>
      </c>
      <c r="G20" s="328"/>
      <c r="H20" s="329">
        <v>1676.49</v>
      </c>
      <c r="I20" s="328"/>
      <c r="J20" s="330">
        <f>F20*H20</f>
        <v>167632.23509999999</v>
      </c>
      <c r="K20" s="328"/>
      <c r="N20" s="105"/>
    </row>
    <row r="21" spans="1:14" ht="15.75" customHeight="1" x14ac:dyDescent="0.25">
      <c r="A21" s="29"/>
      <c r="B21" s="319"/>
      <c r="C21" s="113"/>
      <c r="D21" s="113"/>
      <c r="E21" s="113"/>
      <c r="F21" s="299"/>
      <c r="G21" s="337"/>
      <c r="H21" s="332" t="s">
        <v>132</v>
      </c>
      <c r="I21" s="333"/>
      <c r="J21" s="316">
        <f>(J19+J20)*0.001</f>
        <v>348.03323109999997</v>
      </c>
      <c r="K21" s="317"/>
    </row>
    <row r="22" spans="1:14" ht="15.75" customHeight="1" thickBot="1" x14ac:dyDescent="0.3">
      <c r="A22" s="3"/>
      <c r="B22" s="331"/>
      <c r="C22" s="304"/>
      <c r="D22" s="304"/>
      <c r="E22" s="304"/>
      <c r="F22" s="23"/>
      <c r="G22" s="36"/>
      <c r="H22" s="335" t="s">
        <v>75</v>
      </c>
      <c r="I22" s="336"/>
      <c r="J22" s="325">
        <f>SUM(J19:K21)</f>
        <v>348381.26433109998</v>
      </c>
      <c r="K22" s="326"/>
    </row>
    <row r="23" spans="1:14" ht="15.75" customHeight="1" thickBot="1" x14ac:dyDescent="0.3">
      <c r="A23" s="29"/>
      <c r="B23" s="319"/>
      <c r="C23" s="113"/>
      <c r="D23" s="113"/>
      <c r="E23" s="113"/>
      <c r="F23" s="4"/>
      <c r="G23" s="4"/>
      <c r="H23" s="320"/>
      <c r="I23" s="113"/>
      <c r="J23" s="299"/>
      <c r="K23" s="302"/>
    </row>
    <row r="24" spans="1:14" ht="15.75" customHeight="1" x14ac:dyDescent="0.25">
      <c r="A24" s="30"/>
      <c r="B24" s="321" t="s">
        <v>90</v>
      </c>
      <c r="C24" s="322"/>
      <c r="D24" s="28"/>
      <c r="E24" s="28"/>
      <c r="F24" s="28"/>
      <c r="G24" s="28"/>
      <c r="H24" s="28"/>
      <c r="I24" s="28"/>
      <c r="J24" s="323">
        <f>J22</f>
        <v>348381.26433109998</v>
      </c>
      <c r="K24" s="298"/>
    </row>
    <row r="25" spans="1:14" ht="15.75" customHeight="1" x14ac:dyDescent="0.25">
      <c r="A25" s="4"/>
      <c r="B25" s="17"/>
      <c r="C25" s="4"/>
      <c r="D25" s="4"/>
      <c r="E25" s="4"/>
      <c r="F25" s="4"/>
      <c r="G25" s="4"/>
      <c r="H25" s="4"/>
      <c r="I25" s="4"/>
      <c r="J25" s="4"/>
      <c r="K25" s="18"/>
    </row>
    <row r="26" spans="1:14" ht="15.75" customHeight="1" x14ac:dyDescent="0.25">
      <c r="A26" s="37"/>
      <c r="B26" s="334" t="s">
        <v>91</v>
      </c>
      <c r="C26" s="113"/>
      <c r="D26" s="4"/>
      <c r="E26" s="4"/>
      <c r="F26" s="4"/>
      <c r="G26" s="4"/>
      <c r="H26" s="4"/>
      <c r="I26" s="4"/>
      <c r="J26" s="4"/>
      <c r="K26" s="18"/>
    </row>
    <row r="27" spans="1:14" ht="15.75" customHeight="1" x14ac:dyDescent="0.25">
      <c r="A27" s="4"/>
      <c r="B27" s="17" t="s">
        <v>92</v>
      </c>
      <c r="C27" s="4"/>
      <c r="D27" s="1" t="s">
        <v>162</v>
      </c>
      <c r="E27" s="1"/>
      <c r="F27" s="1"/>
      <c r="G27" s="1"/>
      <c r="H27" s="4"/>
      <c r="I27" s="4"/>
      <c r="J27" s="4"/>
      <c r="K27" s="18"/>
    </row>
    <row r="28" spans="1:14" ht="15.75" customHeight="1" x14ac:dyDescent="0.25">
      <c r="A28" s="4"/>
      <c r="B28" s="17" t="s">
        <v>129</v>
      </c>
      <c r="C28" s="4"/>
      <c r="D28" s="324"/>
      <c r="E28" s="324"/>
      <c r="F28" s="324"/>
      <c r="G28" s="4"/>
      <c r="H28" s="4"/>
      <c r="I28" s="4"/>
      <c r="J28" s="4"/>
      <c r="K28" s="18"/>
    </row>
    <row r="29" spans="1:14" ht="15.75" customHeight="1" x14ac:dyDescent="0.25">
      <c r="A29" s="4"/>
      <c r="B29" s="17" t="s">
        <v>93</v>
      </c>
      <c r="C29" s="4"/>
      <c r="D29" s="4"/>
      <c r="E29" s="4"/>
      <c r="F29" s="4"/>
      <c r="G29" s="4"/>
      <c r="H29" s="4"/>
      <c r="I29" s="4"/>
      <c r="J29" s="4"/>
      <c r="K29" s="18"/>
    </row>
    <row r="30" spans="1:14" ht="15.75" customHeight="1" x14ac:dyDescent="0.25">
      <c r="A30" s="4"/>
      <c r="B30" s="17" t="s">
        <v>94</v>
      </c>
      <c r="C30" s="4"/>
      <c r="D30" s="4" t="s">
        <v>155</v>
      </c>
      <c r="E30" s="4"/>
      <c r="F30" s="4"/>
      <c r="G30" s="4"/>
      <c r="H30" s="4"/>
      <c r="I30" s="4"/>
      <c r="J30" s="4"/>
      <c r="K30" s="18"/>
    </row>
    <row r="31" spans="1:14" ht="15.75" customHeight="1" x14ac:dyDescent="0.25">
      <c r="A31" s="4"/>
      <c r="B31" s="17" t="s">
        <v>95</v>
      </c>
      <c r="C31" s="4"/>
      <c r="D31" s="4"/>
      <c r="E31" s="4"/>
      <c r="F31" s="4"/>
      <c r="G31" s="4"/>
      <c r="H31" s="4"/>
      <c r="I31" s="4"/>
      <c r="J31" s="4"/>
      <c r="K31" s="18"/>
    </row>
    <row r="32" spans="1:14" ht="15.75" customHeight="1" x14ac:dyDescent="0.25">
      <c r="A32" s="4"/>
      <c r="B32" s="17" t="s">
        <v>96</v>
      </c>
      <c r="C32" s="4"/>
      <c r="D32" s="4"/>
      <c r="E32" s="4"/>
      <c r="F32" s="4"/>
      <c r="G32" s="4"/>
      <c r="H32" s="4"/>
      <c r="I32" s="4"/>
      <c r="J32" s="4"/>
      <c r="K32" s="18"/>
    </row>
    <row r="33" spans="1:11" ht="15.75" customHeight="1" x14ac:dyDescent="0.25">
      <c r="A33" s="4"/>
      <c r="B33" s="17" t="s">
        <v>97</v>
      </c>
      <c r="C33" s="4"/>
      <c r="D33" s="1" t="s">
        <v>103</v>
      </c>
      <c r="E33" s="4"/>
      <c r="F33" s="4"/>
      <c r="G33" s="4"/>
      <c r="H33" s="4"/>
      <c r="I33" s="4"/>
      <c r="J33" s="4"/>
      <c r="K33" s="18"/>
    </row>
    <row r="34" spans="1:11" ht="15.75" customHeight="1" x14ac:dyDescent="0.25">
      <c r="A34" s="4"/>
      <c r="B34" s="17"/>
      <c r="C34" s="4"/>
      <c r="D34" s="1" t="s">
        <v>121</v>
      </c>
      <c r="E34" s="4"/>
      <c r="F34" s="4"/>
      <c r="G34" s="4"/>
      <c r="H34" s="4"/>
      <c r="I34" s="4"/>
      <c r="J34" s="4"/>
      <c r="K34" s="18"/>
    </row>
    <row r="35" spans="1:11" ht="15.75" customHeight="1" x14ac:dyDescent="0.25">
      <c r="A35" s="4"/>
      <c r="B35" s="17"/>
      <c r="C35" s="4"/>
      <c r="D35" s="1" t="s">
        <v>124</v>
      </c>
      <c r="E35" s="1"/>
      <c r="F35" s="4"/>
      <c r="G35" s="4"/>
      <c r="H35" s="4"/>
      <c r="I35" s="4"/>
      <c r="J35" s="4"/>
      <c r="K35" s="18"/>
    </row>
    <row r="36" spans="1:11" ht="15.75" customHeight="1" x14ac:dyDescent="0.25">
      <c r="A36" s="38"/>
      <c r="B36" s="318" t="s">
        <v>125</v>
      </c>
      <c r="C36" s="113"/>
      <c r="D36" s="113"/>
      <c r="E36" s="113"/>
      <c r="F36" s="113"/>
      <c r="G36" s="113"/>
      <c r="H36" s="4"/>
      <c r="I36" s="4"/>
      <c r="J36" s="4"/>
      <c r="K36" s="18"/>
    </row>
    <row r="37" spans="1:11" ht="15.75" customHeight="1" x14ac:dyDescent="0.25">
      <c r="A37" s="38"/>
      <c r="B37" s="318" t="s">
        <v>126</v>
      </c>
      <c r="C37" s="113"/>
      <c r="D37" s="113"/>
      <c r="E37" s="113"/>
      <c r="F37" s="113"/>
      <c r="G37" s="113"/>
      <c r="H37" s="4"/>
      <c r="I37" s="4"/>
      <c r="J37" s="4"/>
      <c r="K37" s="18"/>
    </row>
    <row r="38" spans="1:11" ht="15.75" customHeight="1" x14ac:dyDescent="0.25">
      <c r="A38" s="27"/>
      <c r="B38" s="26" t="s">
        <v>98</v>
      </c>
      <c r="C38" s="39" t="str">
        <f>'input data'!B6</f>
        <v>AD240725023182F</v>
      </c>
      <c r="D38" s="27"/>
      <c r="E38" s="27"/>
      <c r="F38" s="27"/>
      <c r="G38" s="27"/>
      <c r="H38" s="4"/>
      <c r="I38" s="4"/>
      <c r="J38" s="4"/>
      <c r="K38" s="18"/>
    </row>
    <row r="39" spans="1:11" ht="15.75" customHeight="1" x14ac:dyDescent="0.25">
      <c r="A39" s="4"/>
      <c r="B39" s="25" t="s">
        <v>104</v>
      </c>
      <c r="C39" s="4"/>
      <c r="D39" s="4"/>
      <c r="E39" s="4"/>
      <c r="F39" s="4"/>
      <c r="G39" s="4"/>
      <c r="H39" s="4"/>
      <c r="I39" s="4"/>
      <c r="J39" s="4"/>
      <c r="K39" s="18"/>
    </row>
    <row r="40" spans="1:11" ht="15.75" customHeight="1" x14ac:dyDescent="0.25">
      <c r="A40" s="4"/>
      <c r="B40" s="17"/>
      <c r="C40" s="4"/>
      <c r="D40" s="4"/>
      <c r="E40" s="4"/>
      <c r="F40" s="4"/>
      <c r="G40" s="4"/>
      <c r="H40" s="4"/>
      <c r="I40" s="4"/>
      <c r="J40" s="4"/>
      <c r="K40" s="18"/>
    </row>
    <row r="41" spans="1:11" ht="15.75" customHeight="1" x14ac:dyDescent="0.25">
      <c r="A41" s="4"/>
      <c r="B41" s="17"/>
      <c r="C41" s="4"/>
      <c r="D41" s="4"/>
      <c r="E41" s="4"/>
      <c r="F41" s="4"/>
      <c r="G41" s="4"/>
      <c r="H41" s="4"/>
      <c r="I41" s="4"/>
      <c r="J41" s="4"/>
      <c r="K41" s="18"/>
    </row>
    <row r="42" spans="1:11" ht="15.75" customHeight="1" x14ac:dyDescent="0.25">
      <c r="A42" s="4"/>
      <c r="B42" s="22"/>
      <c r="C42" s="23"/>
      <c r="D42" s="23"/>
      <c r="E42" s="23"/>
      <c r="F42" s="23"/>
      <c r="G42" s="23"/>
      <c r="H42" s="23"/>
      <c r="I42" s="23"/>
      <c r="J42" s="23"/>
      <c r="K42" s="21"/>
    </row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37">
    <mergeCell ref="H20:I20"/>
    <mergeCell ref="J20:K20"/>
    <mergeCell ref="B37:G37"/>
    <mergeCell ref="B22:E22"/>
    <mergeCell ref="H21:I21"/>
    <mergeCell ref="B26:C26"/>
    <mergeCell ref="H22:I22"/>
    <mergeCell ref="F21:G21"/>
    <mergeCell ref="B19:E19"/>
    <mergeCell ref="J21:K21"/>
    <mergeCell ref="B36:G36"/>
    <mergeCell ref="B23:E23"/>
    <mergeCell ref="H23:I23"/>
    <mergeCell ref="J23:K23"/>
    <mergeCell ref="B24:C24"/>
    <mergeCell ref="J24:K24"/>
    <mergeCell ref="D28:F28"/>
    <mergeCell ref="J22:K22"/>
    <mergeCell ref="F19:G19"/>
    <mergeCell ref="H19:I19"/>
    <mergeCell ref="J19:K19"/>
    <mergeCell ref="B21:E21"/>
    <mergeCell ref="B20:E20"/>
    <mergeCell ref="F20:G20"/>
    <mergeCell ref="W1:Y1"/>
    <mergeCell ref="B3:K3"/>
    <mergeCell ref="B4:K4"/>
    <mergeCell ref="B5:K5"/>
    <mergeCell ref="B7:K7"/>
    <mergeCell ref="B1:K2"/>
    <mergeCell ref="R1:V1"/>
    <mergeCell ref="B13:G13"/>
    <mergeCell ref="B14:G15"/>
    <mergeCell ref="F18:G18"/>
    <mergeCell ref="H18:I18"/>
    <mergeCell ref="J18:K18"/>
    <mergeCell ref="B18:E18"/>
  </mergeCells>
  <pageMargins left="0.7" right="0.7" top="0.75" bottom="0.75" header="0" footer="0"/>
  <pageSetup scale="7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7"/>
  <sheetViews>
    <sheetView topLeftCell="A16" zoomScaleNormal="100" workbookViewId="0">
      <selection activeCell="M29" sqref="M29"/>
    </sheetView>
  </sheetViews>
  <sheetFormatPr defaultColWidth="14.42578125" defaultRowHeight="15" x14ac:dyDescent="0.25"/>
  <cols>
    <col min="1" max="2" width="8.7109375" style="61" customWidth="1"/>
    <col min="3" max="3" width="18.85546875" style="61" bestFit="1" customWidth="1"/>
    <col min="4" max="13" width="8.7109375" style="61" customWidth="1"/>
    <col min="14" max="14" width="10.7109375" style="61" bestFit="1" customWidth="1"/>
    <col min="15" max="16" width="8.7109375" style="61" customWidth="1"/>
    <col min="17" max="17" width="17.42578125" style="61" customWidth="1"/>
    <col min="18" max="27" width="8.7109375" style="61" customWidth="1"/>
    <col min="28" max="16384" width="14.42578125" style="61"/>
  </cols>
  <sheetData>
    <row r="1" spans="1:25" ht="36" x14ac:dyDescent="0.55000000000000004">
      <c r="A1" s="31"/>
      <c r="B1" s="307" t="s">
        <v>103</v>
      </c>
      <c r="C1" s="308"/>
      <c r="D1" s="308"/>
      <c r="E1" s="308"/>
      <c r="F1" s="308"/>
      <c r="G1" s="308"/>
      <c r="H1" s="308"/>
      <c r="I1" s="308"/>
      <c r="J1" s="308"/>
      <c r="K1" s="309"/>
      <c r="R1" s="313"/>
      <c r="S1" s="113"/>
      <c r="T1" s="113"/>
      <c r="U1" s="113"/>
      <c r="V1" s="113"/>
      <c r="W1" s="299"/>
      <c r="X1" s="113"/>
      <c r="Y1" s="113"/>
    </row>
    <row r="2" spans="1:25" ht="36.75" thickBot="1" x14ac:dyDescent="0.6">
      <c r="A2" s="31"/>
      <c r="B2" s="310"/>
      <c r="C2" s="311"/>
      <c r="D2" s="311"/>
      <c r="E2" s="311"/>
      <c r="F2" s="311"/>
      <c r="G2" s="311"/>
      <c r="H2" s="311"/>
      <c r="I2" s="311"/>
      <c r="J2" s="311"/>
      <c r="K2" s="312"/>
    </row>
    <row r="3" spans="1:25" x14ac:dyDescent="0.25">
      <c r="A3" s="32"/>
      <c r="B3" s="300" t="s">
        <v>121</v>
      </c>
      <c r="C3" s="197"/>
      <c r="D3" s="197"/>
      <c r="E3" s="197"/>
      <c r="F3" s="197"/>
      <c r="G3" s="197"/>
      <c r="H3" s="197"/>
      <c r="I3" s="197"/>
      <c r="J3" s="197"/>
      <c r="K3" s="154"/>
    </row>
    <row r="4" spans="1:25" x14ac:dyDescent="0.25">
      <c r="A4" s="32"/>
      <c r="B4" s="301" t="s">
        <v>122</v>
      </c>
      <c r="C4" s="113"/>
      <c r="D4" s="113"/>
      <c r="E4" s="113"/>
      <c r="F4" s="113"/>
      <c r="G4" s="113"/>
      <c r="H4" s="113"/>
      <c r="I4" s="113"/>
      <c r="J4" s="113"/>
      <c r="K4" s="302"/>
    </row>
    <row r="5" spans="1:25" ht="15.75" thickBot="1" x14ac:dyDescent="0.3">
      <c r="A5" s="63"/>
      <c r="B5" s="303" t="s">
        <v>123</v>
      </c>
      <c r="C5" s="304"/>
      <c r="D5" s="304"/>
      <c r="E5" s="304"/>
      <c r="F5" s="304"/>
      <c r="G5" s="304"/>
      <c r="H5" s="304"/>
      <c r="I5" s="304"/>
      <c r="J5" s="304"/>
      <c r="K5" s="305"/>
    </row>
    <row r="6" spans="1:25" x14ac:dyDescent="0.25">
      <c r="A6" s="4"/>
      <c r="B6" s="24"/>
      <c r="C6" s="15"/>
      <c r="D6" s="15"/>
      <c r="E6" s="15"/>
      <c r="F6" s="15"/>
      <c r="G6" s="15"/>
      <c r="H6" s="15"/>
      <c r="I6" s="15"/>
      <c r="J6" s="15"/>
      <c r="K6" s="16"/>
    </row>
    <row r="7" spans="1:25" ht="18.75" x14ac:dyDescent="0.3">
      <c r="A7" s="33"/>
      <c r="B7" s="306" t="s">
        <v>130</v>
      </c>
      <c r="C7" s="113"/>
      <c r="D7" s="113"/>
      <c r="E7" s="113"/>
      <c r="F7" s="113"/>
      <c r="G7" s="113"/>
      <c r="H7" s="113"/>
      <c r="I7" s="113"/>
      <c r="J7" s="113"/>
      <c r="K7" s="302"/>
    </row>
    <row r="8" spans="1:25" x14ac:dyDescent="0.25">
      <c r="A8" s="4"/>
      <c r="B8" s="17"/>
      <c r="C8" s="4"/>
      <c r="D8" s="4"/>
      <c r="E8" s="4"/>
      <c r="F8" s="4"/>
      <c r="G8" s="4"/>
      <c r="H8" s="4"/>
      <c r="I8" s="4"/>
      <c r="J8" s="4"/>
      <c r="K8" s="18"/>
    </row>
    <row r="9" spans="1:25" x14ac:dyDescent="0.25">
      <c r="A9" s="4"/>
      <c r="B9" s="17" t="s">
        <v>83</v>
      </c>
      <c r="C9" s="42">
        <v>45945</v>
      </c>
      <c r="D9" s="4"/>
      <c r="E9" s="4"/>
      <c r="F9" s="4"/>
      <c r="G9" s="4"/>
      <c r="H9" s="4"/>
      <c r="I9" s="4"/>
      <c r="J9" s="4"/>
      <c r="K9" s="18"/>
    </row>
    <row r="10" spans="1:25" x14ac:dyDescent="0.25">
      <c r="A10" s="4"/>
      <c r="B10" s="17" t="s">
        <v>84</v>
      </c>
      <c r="C10" s="34" t="s">
        <v>163</v>
      </c>
      <c r="D10" s="4"/>
      <c r="E10" s="4"/>
      <c r="F10" s="4"/>
      <c r="G10" s="4"/>
      <c r="H10" s="4"/>
      <c r="I10" s="4"/>
      <c r="J10" s="4"/>
      <c r="K10" s="18"/>
    </row>
    <row r="11" spans="1:25" x14ac:dyDescent="0.25">
      <c r="A11" s="4"/>
      <c r="B11" s="17"/>
      <c r="C11" s="4"/>
      <c r="D11" s="4"/>
      <c r="E11" s="4"/>
      <c r="F11" s="4"/>
      <c r="G11" s="4"/>
      <c r="H11" s="4"/>
      <c r="I11" s="4"/>
      <c r="J11" s="4"/>
      <c r="K11" s="18"/>
    </row>
    <row r="12" spans="1:25" x14ac:dyDescent="0.25">
      <c r="A12" s="4"/>
      <c r="B12" s="17" t="s">
        <v>85</v>
      </c>
      <c r="C12" s="4"/>
      <c r="D12" s="4"/>
      <c r="E12" s="4"/>
      <c r="F12" s="4"/>
      <c r="G12" s="4"/>
      <c r="H12" s="4"/>
      <c r="I12" s="4"/>
      <c r="J12" s="4"/>
      <c r="K12" s="18"/>
    </row>
    <row r="13" spans="1:25" x14ac:dyDescent="0.25">
      <c r="A13" s="14"/>
      <c r="B13" s="295" t="s">
        <v>165</v>
      </c>
      <c r="C13" s="113"/>
      <c r="D13" s="113"/>
      <c r="E13" s="113"/>
      <c r="F13" s="113"/>
      <c r="G13" s="113"/>
      <c r="H13" s="4"/>
      <c r="I13" s="4"/>
      <c r="J13" s="4"/>
      <c r="K13" s="18"/>
    </row>
    <row r="14" spans="1:25" x14ac:dyDescent="0.25">
      <c r="A14" s="62"/>
      <c r="B14" s="296" t="s">
        <v>166</v>
      </c>
      <c r="C14" s="113"/>
      <c r="D14" s="113"/>
      <c r="E14" s="113"/>
      <c r="F14" s="113"/>
      <c r="G14" s="113"/>
      <c r="H14" s="4"/>
      <c r="I14" s="4"/>
      <c r="J14" s="4"/>
      <c r="K14" s="18"/>
    </row>
    <row r="15" spans="1:25" ht="49.5" customHeight="1" x14ac:dyDescent="0.25">
      <c r="A15" s="62"/>
      <c r="B15" s="297"/>
      <c r="C15" s="113"/>
      <c r="D15" s="113"/>
      <c r="E15" s="113"/>
      <c r="F15" s="113"/>
      <c r="G15" s="113"/>
      <c r="H15" s="4"/>
      <c r="I15" s="4"/>
      <c r="J15" s="4"/>
      <c r="K15" s="18"/>
    </row>
    <row r="16" spans="1:25" x14ac:dyDescent="0.25">
      <c r="A16" s="4"/>
      <c r="B16" s="17" t="s">
        <v>86</v>
      </c>
      <c r="C16" s="4"/>
      <c r="D16" s="4"/>
      <c r="E16" s="4"/>
      <c r="F16" s="4"/>
      <c r="G16" s="4"/>
      <c r="H16" s="4"/>
      <c r="I16" s="4"/>
      <c r="J16" s="4"/>
      <c r="K16" s="18"/>
    </row>
    <row r="17" spans="1:14" ht="15.75" thickBot="1" x14ac:dyDescent="0.3">
      <c r="A17" s="4"/>
      <c r="B17" s="22"/>
      <c r="C17" s="23"/>
      <c r="D17" s="23"/>
      <c r="E17" s="23"/>
      <c r="F17" s="23"/>
      <c r="G17" s="23"/>
      <c r="H17" s="23"/>
      <c r="I17" s="23"/>
      <c r="J17" s="23"/>
      <c r="K17" s="21"/>
    </row>
    <row r="18" spans="1:14" ht="15.75" thickBot="1" x14ac:dyDescent="0.3">
      <c r="A18" s="30"/>
      <c r="B18" s="242" t="s">
        <v>87</v>
      </c>
      <c r="C18" s="243"/>
      <c r="D18" s="243"/>
      <c r="E18" s="244"/>
      <c r="F18" s="242" t="s">
        <v>88</v>
      </c>
      <c r="G18" s="298"/>
      <c r="H18" s="242" t="s">
        <v>128</v>
      </c>
      <c r="I18" s="298"/>
      <c r="J18" s="242" t="s">
        <v>89</v>
      </c>
      <c r="K18" s="298"/>
    </row>
    <row r="19" spans="1:14" s="60" customFormat="1" ht="18" customHeight="1" thickBot="1" x14ac:dyDescent="0.3">
      <c r="A19" s="59"/>
      <c r="B19" s="226" t="s">
        <v>135</v>
      </c>
      <c r="C19" s="314"/>
      <c r="D19" s="314"/>
      <c r="E19" s="315"/>
      <c r="F19" s="327">
        <v>153</v>
      </c>
      <c r="G19" s="328"/>
      <c r="H19" s="329">
        <v>1714.17</v>
      </c>
      <c r="I19" s="328"/>
      <c r="J19" s="330">
        <f>F19*H19</f>
        <v>262268.01</v>
      </c>
      <c r="K19" s="328"/>
      <c r="N19" s="67"/>
    </row>
    <row r="20" spans="1:14" ht="15.75" customHeight="1" x14ac:dyDescent="0.25">
      <c r="A20" s="63"/>
      <c r="B20" s="319"/>
      <c r="C20" s="113"/>
      <c r="D20" s="113"/>
      <c r="E20" s="113"/>
      <c r="F20" s="299"/>
      <c r="G20" s="337"/>
      <c r="H20" s="332" t="s">
        <v>164</v>
      </c>
      <c r="I20" s="333"/>
      <c r="J20" s="316">
        <f>(J19)*0.18</f>
        <v>47208.241800000003</v>
      </c>
      <c r="K20" s="317"/>
    </row>
    <row r="21" spans="1:14" ht="15.75" customHeight="1" thickBot="1" x14ac:dyDescent="0.3">
      <c r="A21" s="14"/>
      <c r="B21" s="331"/>
      <c r="C21" s="304"/>
      <c r="D21" s="304"/>
      <c r="E21" s="304"/>
      <c r="F21" s="23"/>
      <c r="G21" s="36"/>
      <c r="H21" s="335" t="s">
        <v>75</v>
      </c>
      <c r="I21" s="336"/>
      <c r="J21" s="325">
        <f>SUM(J19:K20)</f>
        <v>309476.25180000003</v>
      </c>
      <c r="K21" s="326"/>
    </row>
    <row r="22" spans="1:14" ht="15.75" customHeight="1" thickBot="1" x14ac:dyDescent="0.3">
      <c r="A22" s="63"/>
      <c r="B22" s="319"/>
      <c r="C22" s="113"/>
      <c r="D22" s="113"/>
      <c r="E22" s="113"/>
      <c r="F22" s="4"/>
      <c r="G22" s="4"/>
      <c r="H22" s="320"/>
      <c r="I22" s="113"/>
      <c r="J22" s="299"/>
      <c r="K22" s="302"/>
    </row>
    <row r="23" spans="1:14" ht="15.75" customHeight="1" thickBot="1" x14ac:dyDescent="0.3">
      <c r="A23" s="30"/>
      <c r="B23" s="321" t="s">
        <v>90</v>
      </c>
      <c r="C23" s="322"/>
      <c r="D23" s="28"/>
      <c r="E23" s="28"/>
      <c r="F23" s="28"/>
      <c r="G23" s="28"/>
      <c r="H23" s="28"/>
      <c r="I23" s="28"/>
      <c r="J23" s="323">
        <f>J21</f>
        <v>309476.25180000003</v>
      </c>
      <c r="K23" s="298"/>
    </row>
    <row r="24" spans="1:14" ht="15.75" customHeight="1" x14ac:dyDescent="0.25">
      <c r="A24" s="4"/>
      <c r="B24" s="17"/>
      <c r="C24" s="4"/>
      <c r="D24" s="4"/>
      <c r="E24" s="4"/>
      <c r="F24" s="4"/>
      <c r="G24" s="4"/>
      <c r="H24" s="4"/>
      <c r="I24" s="4"/>
      <c r="J24" s="4"/>
      <c r="K24" s="18"/>
    </row>
    <row r="25" spans="1:14" ht="15.75" customHeight="1" x14ac:dyDescent="0.25">
      <c r="A25" s="37"/>
      <c r="B25" s="334" t="s">
        <v>91</v>
      </c>
      <c r="C25" s="113"/>
      <c r="D25" s="4"/>
      <c r="E25" s="4"/>
      <c r="F25" s="4"/>
      <c r="G25" s="4"/>
      <c r="H25" s="4"/>
      <c r="I25" s="4"/>
      <c r="J25" s="4"/>
      <c r="K25" s="18"/>
    </row>
    <row r="26" spans="1:14" ht="15.75" customHeight="1" x14ac:dyDescent="0.25">
      <c r="A26" s="4"/>
      <c r="B26" s="17" t="s">
        <v>92</v>
      </c>
      <c r="C26" s="4"/>
      <c r="D26" s="1" t="s">
        <v>162</v>
      </c>
      <c r="E26" s="1"/>
      <c r="F26" s="1"/>
      <c r="G26" s="1"/>
      <c r="H26" s="4"/>
      <c r="I26" s="4"/>
      <c r="J26" s="4"/>
      <c r="K26" s="18"/>
    </row>
    <row r="27" spans="1:14" ht="15.75" customHeight="1" x14ac:dyDescent="0.25">
      <c r="A27" s="4"/>
      <c r="B27" s="17" t="s">
        <v>129</v>
      </c>
      <c r="C27" s="4"/>
      <c r="D27" s="324"/>
      <c r="E27" s="324"/>
      <c r="F27" s="324"/>
      <c r="G27" s="4"/>
      <c r="H27" s="4"/>
      <c r="I27" s="4"/>
      <c r="J27" s="4"/>
      <c r="K27" s="18"/>
    </row>
    <row r="28" spans="1:14" ht="15.75" customHeight="1" x14ac:dyDescent="0.25">
      <c r="A28" s="4"/>
      <c r="B28" s="17" t="s">
        <v>93</v>
      </c>
      <c r="C28" s="4"/>
      <c r="D28" s="4"/>
      <c r="E28" s="4"/>
      <c r="F28" s="4"/>
      <c r="G28" s="4"/>
      <c r="H28" s="4"/>
      <c r="I28" s="4"/>
      <c r="J28" s="4"/>
      <c r="K28" s="18"/>
    </row>
    <row r="29" spans="1:14" ht="15.75" customHeight="1" x14ac:dyDescent="0.25">
      <c r="A29" s="4"/>
      <c r="B29" s="17" t="s">
        <v>94</v>
      </c>
      <c r="C29" s="4"/>
      <c r="D29" s="4" t="s">
        <v>155</v>
      </c>
      <c r="E29" s="4"/>
      <c r="F29" s="4"/>
      <c r="G29" s="4"/>
      <c r="H29" s="4"/>
      <c r="I29" s="4"/>
      <c r="J29" s="4"/>
      <c r="K29" s="18"/>
    </row>
    <row r="30" spans="1:14" ht="15.75" customHeight="1" x14ac:dyDescent="0.25">
      <c r="A30" s="4"/>
      <c r="B30" s="17" t="s">
        <v>95</v>
      </c>
      <c r="C30" s="4"/>
      <c r="D30" s="4"/>
      <c r="E30" s="4"/>
      <c r="F30" s="4"/>
      <c r="G30" s="4"/>
      <c r="H30" s="4"/>
      <c r="I30" s="4"/>
      <c r="J30" s="4"/>
      <c r="K30" s="18"/>
    </row>
    <row r="31" spans="1:14" ht="15.75" customHeight="1" x14ac:dyDescent="0.25">
      <c r="A31" s="4"/>
      <c r="B31" s="17" t="s">
        <v>96</v>
      </c>
      <c r="C31" s="4"/>
      <c r="D31" s="4"/>
      <c r="E31" s="4"/>
      <c r="F31" s="4"/>
      <c r="G31" s="4"/>
      <c r="H31" s="4"/>
      <c r="I31" s="4"/>
      <c r="J31" s="4"/>
      <c r="K31" s="18"/>
    </row>
    <row r="32" spans="1:14" ht="15.75" customHeight="1" x14ac:dyDescent="0.25">
      <c r="A32" s="4"/>
      <c r="B32" s="17" t="s">
        <v>97</v>
      </c>
      <c r="C32" s="4"/>
      <c r="D32" s="1" t="s">
        <v>103</v>
      </c>
      <c r="E32" s="4"/>
      <c r="F32" s="4"/>
      <c r="G32" s="4"/>
      <c r="H32" s="4"/>
      <c r="I32" s="4"/>
      <c r="J32" s="4"/>
      <c r="K32" s="18"/>
    </row>
    <row r="33" spans="1:11" ht="15.75" customHeight="1" x14ac:dyDescent="0.25">
      <c r="A33" s="4"/>
      <c r="B33" s="17"/>
      <c r="C33" s="4"/>
      <c r="D33" s="1" t="s">
        <v>121</v>
      </c>
      <c r="E33" s="4"/>
      <c r="F33" s="4"/>
      <c r="G33" s="4"/>
      <c r="H33" s="4"/>
      <c r="I33" s="4"/>
      <c r="J33" s="4"/>
      <c r="K33" s="18"/>
    </row>
    <row r="34" spans="1:11" ht="15.75" customHeight="1" x14ac:dyDescent="0.25">
      <c r="A34" s="4"/>
      <c r="B34" s="17"/>
      <c r="C34" s="4"/>
      <c r="D34" s="1" t="s">
        <v>124</v>
      </c>
      <c r="E34" s="1"/>
      <c r="F34" s="4"/>
      <c r="G34" s="4"/>
      <c r="H34" s="4"/>
      <c r="I34" s="4"/>
      <c r="J34" s="4"/>
      <c r="K34" s="18"/>
    </row>
    <row r="35" spans="1:11" ht="15.75" customHeight="1" x14ac:dyDescent="0.25">
      <c r="A35" s="38"/>
      <c r="B35" s="318" t="s">
        <v>125</v>
      </c>
      <c r="C35" s="113"/>
      <c r="D35" s="113"/>
      <c r="E35" s="113"/>
      <c r="F35" s="113"/>
      <c r="G35" s="113"/>
      <c r="H35" s="4"/>
      <c r="I35" s="4"/>
      <c r="J35" s="4"/>
      <c r="K35" s="18"/>
    </row>
    <row r="36" spans="1:11" ht="15.75" customHeight="1" x14ac:dyDescent="0.25">
      <c r="A36" s="38"/>
      <c r="B36" s="318" t="s">
        <v>126</v>
      </c>
      <c r="C36" s="113"/>
      <c r="D36" s="113"/>
      <c r="E36" s="113"/>
      <c r="F36" s="113"/>
      <c r="G36" s="113"/>
      <c r="H36" s="4"/>
      <c r="I36" s="4"/>
      <c r="J36" s="4"/>
      <c r="K36" s="18"/>
    </row>
    <row r="37" spans="1:11" ht="15.75" customHeight="1" x14ac:dyDescent="0.25">
      <c r="A37" s="27"/>
      <c r="B37" s="26" t="s">
        <v>98</v>
      </c>
      <c r="C37" s="39" t="str">
        <f>'input data'!B6</f>
        <v>AD240725023182F</v>
      </c>
      <c r="D37" s="27"/>
      <c r="E37" s="27"/>
      <c r="F37" s="27"/>
      <c r="G37" s="27"/>
      <c r="H37" s="4"/>
      <c r="I37" s="4"/>
      <c r="J37" s="4"/>
      <c r="K37" s="18"/>
    </row>
    <row r="38" spans="1:11" ht="15.75" customHeight="1" x14ac:dyDescent="0.25">
      <c r="A38" s="4"/>
      <c r="B38" s="25" t="s">
        <v>104</v>
      </c>
      <c r="C38" s="4"/>
      <c r="D38" s="4"/>
      <c r="E38" s="4"/>
      <c r="F38" s="4"/>
      <c r="G38" s="4"/>
      <c r="H38" s="4"/>
      <c r="I38" s="4"/>
      <c r="J38" s="4"/>
      <c r="K38" s="18"/>
    </row>
    <row r="39" spans="1:11" ht="15.75" customHeight="1" x14ac:dyDescent="0.25">
      <c r="A39" s="4"/>
      <c r="B39" s="17"/>
      <c r="C39" s="4"/>
      <c r="D39" s="4"/>
      <c r="E39" s="4"/>
      <c r="F39" s="4"/>
      <c r="G39" s="4"/>
      <c r="H39" s="4"/>
      <c r="I39" s="4"/>
      <c r="J39" s="4"/>
      <c r="K39" s="18"/>
    </row>
    <row r="40" spans="1:11" ht="15.75" customHeight="1" x14ac:dyDescent="0.25">
      <c r="A40" s="4"/>
      <c r="B40" s="17"/>
      <c r="C40" s="4"/>
      <c r="D40" s="4"/>
      <c r="E40" s="4"/>
      <c r="F40" s="4"/>
      <c r="G40" s="4"/>
      <c r="H40" s="4"/>
      <c r="I40" s="4"/>
      <c r="J40" s="4"/>
      <c r="K40" s="18"/>
    </row>
    <row r="41" spans="1:11" ht="15.75" customHeight="1" thickBot="1" x14ac:dyDescent="0.3">
      <c r="A41" s="4"/>
      <c r="B41" s="22"/>
      <c r="C41" s="23"/>
      <c r="D41" s="23"/>
      <c r="E41" s="23"/>
      <c r="F41" s="23"/>
      <c r="G41" s="23"/>
      <c r="H41" s="23"/>
      <c r="I41" s="23"/>
      <c r="J41" s="23"/>
      <c r="K41" s="21"/>
    </row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33">
    <mergeCell ref="B5:K5"/>
    <mergeCell ref="B1:K2"/>
    <mergeCell ref="R1:V1"/>
    <mergeCell ref="W1:Y1"/>
    <mergeCell ref="B3:K3"/>
    <mergeCell ref="B4:K4"/>
    <mergeCell ref="B7:K7"/>
    <mergeCell ref="B13:G13"/>
    <mergeCell ref="B14:G15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35:G35"/>
    <mergeCell ref="B36:G36"/>
    <mergeCell ref="B21:E21"/>
    <mergeCell ref="H21:I21"/>
    <mergeCell ref="B22:E22"/>
    <mergeCell ref="H22:I22"/>
    <mergeCell ref="B23:C23"/>
    <mergeCell ref="J23:K23"/>
    <mergeCell ref="B25:C25"/>
    <mergeCell ref="J21:K21"/>
    <mergeCell ref="J22:K22"/>
    <mergeCell ref="D27:F27"/>
  </mergeCells>
  <pageMargins left="0.7" right="0.7" top="0.75" bottom="0.75" header="0.3" footer="0.3"/>
  <pageSetup scale="85" orientation="portrait" r:id="rId1"/>
  <colBreaks count="1" manualBreakCount="1">
    <brk id="11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7"/>
  <sheetViews>
    <sheetView topLeftCell="A7" zoomScaleNormal="100" workbookViewId="0">
      <selection activeCell="M32" sqref="M32"/>
    </sheetView>
  </sheetViews>
  <sheetFormatPr defaultColWidth="14.42578125" defaultRowHeight="15" x14ac:dyDescent="0.25"/>
  <cols>
    <col min="1" max="2" width="8.7109375" style="64" customWidth="1"/>
    <col min="3" max="3" width="18.85546875" style="64" bestFit="1" customWidth="1"/>
    <col min="4" max="13" width="8.7109375" style="64" customWidth="1"/>
    <col min="14" max="14" width="10.7109375" style="64" bestFit="1" customWidth="1"/>
    <col min="15" max="16" width="8.7109375" style="64" customWidth="1"/>
    <col min="17" max="17" width="17.42578125" style="64" customWidth="1"/>
    <col min="18" max="27" width="8.7109375" style="64" customWidth="1"/>
    <col min="28" max="16384" width="14.42578125" style="64"/>
  </cols>
  <sheetData>
    <row r="1" spans="1:25" ht="36" x14ac:dyDescent="0.55000000000000004">
      <c r="A1" s="31"/>
      <c r="B1" s="307" t="s">
        <v>103</v>
      </c>
      <c r="C1" s="308"/>
      <c r="D1" s="308"/>
      <c r="E1" s="308"/>
      <c r="F1" s="308"/>
      <c r="G1" s="308"/>
      <c r="H1" s="308"/>
      <c r="I1" s="308"/>
      <c r="J1" s="308"/>
      <c r="K1" s="309"/>
      <c r="R1" s="313"/>
      <c r="S1" s="113"/>
      <c r="T1" s="113"/>
      <c r="U1" s="113"/>
      <c r="V1" s="113"/>
      <c r="W1" s="299"/>
      <c r="X1" s="113"/>
      <c r="Y1" s="113"/>
    </row>
    <row r="2" spans="1:25" ht="36.75" thickBot="1" x14ac:dyDescent="0.6">
      <c r="A2" s="31"/>
      <c r="B2" s="310"/>
      <c r="C2" s="311"/>
      <c r="D2" s="311"/>
      <c r="E2" s="311"/>
      <c r="F2" s="311"/>
      <c r="G2" s="311"/>
      <c r="H2" s="311"/>
      <c r="I2" s="311"/>
      <c r="J2" s="311"/>
      <c r="K2" s="312"/>
    </row>
    <row r="3" spans="1:25" x14ac:dyDescent="0.25">
      <c r="A3" s="32"/>
      <c r="B3" s="300" t="s">
        <v>121</v>
      </c>
      <c r="C3" s="197"/>
      <c r="D3" s="197"/>
      <c r="E3" s="197"/>
      <c r="F3" s="197"/>
      <c r="G3" s="197"/>
      <c r="H3" s="197"/>
      <c r="I3" s="197"/>
      <c r="J3" s="197"/>
      <c r="K3" s="154"/>
    </row>
    <row r="4" spans="1:25" x14ac:dyDescent="0.25">
      <c r="A4" s="32"/>
      <c r="B4" s="301" t="s">
        <v>122</v>
      </c>
      <c r="C4" s="113"/>
      <c r="D4" s="113"/>
      <c r="E4" s="113"/>
      <c r="F4" s="113"/>
      <c r="G4" s="113"/>
      <c r="H4" s="113"/>
      <c r="I4" s="113"/>
      <c r="J4" s="113"/>
      <c r="K4" s="302"/>
    </row>
    <row r="5" spans="1:25" ht="15.75" thickBot="1" x14ac:dyDescent="0.3">
      <c r="A5" s="66"/>
      <c r="B5" s="303" t="s">
        <v>123</v>
      </c>
      <c r="C5" s="304"/>
      <c r="D5" s="304"/>
      <c r="E5" s="304"/>
      <c r="F5" s="304"/>
      <c r="G5" s="304"/>
      <c r="H5" s="304"/>
      <c r="I5" s="304"/>
      <c r="J5" s="304"/>
      <c r="K5" s="305"/>
    </row>
    <row r="6" spans="1:25" x14ac:dyDescent="0.25">
      <c r="A6" s="4"/>
      <c r="B6" s="24"/>
      <c r="C6" s="15"/>
      <c r="D6" s="15"/>
      <c r="E6" s="15"/>
      <c r="F6" s="15"/>
      <c r="G6" s="15"/>
      <c r="H6" s="15"/>
      <c r="I6" s="15"/>
      <c r="J6" s="15"/>
      <c r="K6" s="16"/>
    </row>
    <row r="7" spans="1:25" ht="18.75" x14ac:dyDescent="0.3">
      <c r="A7" s="33"/>
      <c r="B7" s="306" t="s">
        <v>130</v>
      </c>
      <c r="C7" s="113"/>
      <c r="D7" s="113"/>
      <c r="E7" s="113"/>
      <c r="F7" s="113"/>
      <c r="G7" s="113"/>
      <c r="H7" s="113"/>
      <c r="I7" s="113"/>
      <c r="J7" s="113"/>
      <c r="K7" s="302"/>
    </row>
    <row r="8" spans="1:25" x14ac:dyDescent="0.25">
      <c r="A8" s="4"/>
      <c r="B8" s="17"/>
      <c r="C8" s="4"/>
      <c r="D8" s="4"/>
      <c r="E8" s="4"/>
      <c r="F8" s="4"/>
      <c r="G8" s="4"/>
      <c r="H8" s="4"/>
      <c r="I8" s="4"/>
      <c r="J8" s="4"/>
      <c r="K8" s="18"/>
    </row>
    <row r="9" spans="1:25" x14ac:dyDescent="0.25">
      <c r="A9" s="4"/>
      <c r="B9" s="17" t="s">
        <v>83</v>
      </c>
      <c r="C9" s="42" t="s">
        <v>134</v>
      </c>
      <c r="D9" s="4"/>
      <c r="E9" s="4"/>
      <c r="F9" s="4"/>
      <c r="G9" s="4"/>
      <c r="H9" s="4"/>
      <c r="I9" s="4"/>
      <c r="J9" s="4"/>
      <c r="K9" s="18"/>
    </row>
    <row r="10" spans="1:25" x14ac:dyDescent="0.25">
      <c r="A10" s="4"/>
      <c r="B10" s="17" t="s">
        <v>84</v>
      </c>
      <c r="C10" s="34" t="s">
        <v>136</v>
      </c>
      <c r="D10" s="4"/>
      <c r="E10" s="4"/>
      <c r="F10" s="4"/>
      <c r="G10" s="4"/>
      <c r="H10" s="4"/>
      <c r="I10" s="4"/>
      <c r="J10" s="4"/>
      <c r="K10" s="18"/>
    </row>
    <row r="11" spans="1:25" x14ac:dyDescent="0.25">
      <c r="A11" s="4"/>
      <c r="B11" s="17"/>
      <c r="C11" s="4"/>
      <c r="D11" s="4"/>
      <c r="E11" s="4"/>
      <c r="F11" s="4"/>
      <c r="G11" s="4"/>
      <c r="H11" s="4"/>
      <c r="I11" s="4"/>
      <c r="J11" s="4"/>
      <c r="K11" s="18"/>
    </row>
    <row r="12" spans="1:25" x14ac:dyDescent="0.25">
      <c r="A12" s="4"/>
      <c r="B12" s="17" t="s">
        <v>85</v>
      </c>
      <c r="C12" s="4"/>
      <c r="D12" s="4"/>
      <c r="E12" s="4"/>
      <c r="F12" s="4"/>
      <c r="G12" s="4"/>
      <c r="H12" s="4"/>
      <c r="I12" s="4"/>
      <c r="J12" s="4"/>
      <c r="K12" s="18"/>
    </row>
    <row r="13" spans="1:25" x14ac:dyDescent="0.25">
      <c r="A13" s="14"/>
      <c r="B13" s="295" t="s">
        <v>137</v>
      </c>
      <c r="C13" s="113"/>
      <c r="D13" s="113"/>
      <c r="E13" s="113"/>
      <c r="F13" s="113"/>
      <c r="G13" s="113"/>
      <c r="H13" s="4"/>
      <c r="I13" s="4"/>
      <c r="J13" s="4"/>
      <c r="K13" s="18"/>
    </row>
    <row r="14" spans="1:25" x14ac:dyDescent="0.25">
      <c r="A14" s="65"/>
      <c r="B14" s="296" t="s">
        <v>138</v>
      </c>
      <c r="C14" s="113"/>
      <c r="D14" s="113"/>
      <c r="E14" s="113"/>
      <c r="F14" s="113"/>
      <c r="G14" s="113"/>
      <c r="H14" s="4"/>
      <c r="I14" s="4"/>
      <c r="J14" s="4"/>
      <c r="K14" s="18"/>
    </row>
    <row r="15" spans="1:25" ht="49.5" customHeight="1" x14ac:dyDescent="0.25">
      <c r="A15" s="65"/>
      <c r="B15" s="297"/>
      <c r="C15" s="113"/>
      <c r="D15" s="113"/>
      <c r="E15" s="113"/>
      <c r="F15" s="113"/>
      <c r="G15" s="113"/>
      <c r="H15" s="4"/>
      <c r="I15" s="4"/>
      <c r="J15" s="4"/>
      <c r="K15" s="18"/>
    </row>
    <row r="16" spans="1:25" x14ac:dyDescent="0.25">
      <c r="A16" s="4"/>
      <c r="B16" s="17" t="s">
        <v>86</v>
      </c>
      <c r="C16" s="4"/>
      <c r="D16" s="4"/>
      <c r="E16" s="4"/>
      <c r="F16" s="4"/>
      <c r="G16" s="4"/>
      <c r="H16" s="4"/>
      <c r="I16" s="4"/>
      <c r="J16" s="4"/>
      <c r="K16" s="18"/>
    </row>
    <row r="17" spans="1:14" ht="15.75" thickBot="1" x14ac:dyDescent="0.3">
      <c r="A17" s="4"/>
      <c r="B17" s="22"/>
      <c r="C17" s="23"/>
      <c r="D17" s="23"/>
      <c r="E17" s="23"/>
      <c r="F17" s="23"/>
      <c r="G17" s="23"/>
      <c r="H17" s="23"/>
      <c r="I17" s="23"/>
      <c r="J17" s="23"/>
      <c r="K17" s="21"/>
    </row>
    <row r="18" spans="1:14" ht="15.75" thickBot="1" x14ac:dyDescent="0.3">
      <c r="A18" s="30"/>
      <c r="B18" s="242" t="s">
        <v>87</v>
      </c>
      <c r="C18" s="243"/>
      <c r="D18" s="243"/>
      <c r="E18" s="244"/>
      <c r="F18" s="242" t="s">
        <v>88</v>
      </c>
      <c r="G18" s="298"/>
      <c r="H18" s="242" t="s">
        <v>128</v>
      </c>
      <c r="I18" s="298"/>
      <c r="J18" s="242" t="s">
        <v>89</v>
      </c>
      <c r="K18" s="298"/>
    </row>
    <row r="19" spans="1:14" s="60" customFormat="1" ht="18" customHeight="1" thickBot="1" x14ac:dyDescent="0.3">
      <c r="A19" s="59"/>
      <c r="B19" s="226" t="s">
        <v>135</v>
      </c>
      <c r="C19" s="314"/>
      <c r="D19" s="314"/>
      <c r="E19" s="315"/>
      <c r="F19" s="327">
        <v>157.12</v>
      </c>
      <c r="G19" s="328"/>
      <c r="H19" s="329">
        <v>1190.73</v>
      </c>
      <c r="I19" s="328"/>
      <c r="J19" s="330">
        <f>F19*H19</f>
        <v>187087.4976</v>
      </c>
      <c r="K19" s="328"/>
      <c r="N19" s="67"/>
    </row>
    <row r="20" spans="1:14" ht="15.75" customHeight="1" x14ac:dyDescent="0.25">
      <c r="A20" s="66"/>
      <c r="B20" s="319"/>
      <c r="C20" s="113"/>
      <c r="D20" s="113"/>
      <c r="E20" s="113"/>
      <c r="F20" s="299"/>
      <c r="G20" s="337"/>
      <c r="H20" s="332" t="s">
        <v>132</v>
      </c>
      <c r="I20" s="333"/>
      <c r="J20" s="316">
        <f>(J19)*0.001</f>
        <v>187.08749760000001</v>
      </c>
      <c r="K20" s="317"/>
    </row>
    <row r="21" spans="1:14" ht="15.75" customHeight="1" thickBot="1" x14ac:dyDescent="0.3">
      <c r="A21" s="14"/>
      <c r="B21" s="331"/>
      <c r="C21" s="304"/>
      <c r="D21" s="304"/>
      <c r="E21" s="304"/>
      <c r="F21" s="23"/>
      <c r="G21" s="36"/>
      <c r="H21" s="335" t="s">
        <v>75</v>
      </c>
      <c r="I21" s="336"/>
      <c r="J21" s="325">
        <f>SUM(J19:K20)</f>
        <v>187274.58509760001</v>
      </c>
      <c r="K21" s="326"/>
    </row>
    <row r="22" spans="1:14" ht="15.75" customHeight="1" thickBot="1" x14ac:dyDescent="0.3">
      <c r="A22" s="66"/>
      <c r="B22" s="319"/>
      <c r="C22" s="113"/>
      <c r="D22" s="113"/>
      <c r="E22" s="113"/>
      <c r="F22" s="4"/>
      <c r="G22" s="4"/>
      <c r="H22" s="320"/>
      <c r="I22" s="113"/>
      <c r="J22" s="299"/>
      <c r="K22" s="302"/>
    </row>
    <row r="23" spans="1:14" ht="15.75" customHeight="1" thickBot="1" x14ac:dyDescent="0.3">
      <c r="A23" s="30"/>
      <c r="B23" s="321" t="s">
        <v>90</v>
      </c>
      <c r="C23" s="322"/>
      <c r="D23" s="28"/>
      <c r="E23" s="28"/>
      <c r="F23" s="28"/>
      <c r="G23" s="28"/>
      <c r="H23" s="28"/>
      <c r="I23" s="28"/>
      <c r="J23" s="323">
        <f>J21</f>
        <v>187274.58509760001</v>
      </c>
      <c r="K23" s="298"/>
    </row>
    <row r="24" spans="1:14" ht="15.75" customHeight="1" x14ac:dyDescent="0.25">
      <c r="A24" s="4"/>
      <c r="B24" s="17"/>
      <c r="C24" s="4"/>
      <c r="D24" s="4"/>
      <c r="E24" s="4"/>
      <c r="F24" s="4"/>
      <c r="G24" s="4"/>
      <c r="H24" s="4"/>
      <c r="I24" s="4"/>
      <c r="J24" s="4"/>
      <c r="K24" s="18"/>
    </row>
    <row r="25" spans="1:14" ht="15.75" customHeight="1" x14ac:dyDescent="0.25">
      <c r="A25" s="37"/>
      <c r="B25" s="334" t="s">
        <v>91</v>
      </c>
      <c r="C25" s="113"/>
      <c r="D25" s="4"/>
      <c r="E25" s="4"/>
      <c r="F25" s="4"/>
      <c r="G25" s="4"/>
      <c r="H25" s="4"/>
      <c r="I25" s="4"/>
      <c r="J25" s="4"/>
      <c r="K25" s="18"/>
    </row>
    <row r="26" spans="1:14" ht="15.75" customHeight="1" x14ac:dyDescent="0.25">
      <c r="A26" s="4"/>
      <c r="B26" s="17" t="s">
        <v>92</v>
      </c>
      <c r="C26" s="4"/>
      <c r="D26" s="1" t="s">
        <v>133</v>
      </c>
      <c r="E26" s="1"/>
      <c r="F26" s="1"/>
      <c r="G26" s="1"/>
      <c r="H26" s="4"/>
      <c r="I26" s="4"/>
      <c r="J26" s="4"/>
      <c r="K26" s="18"/>
    </row>
    <row r="27" spans="1:14" ht="15.75" customHeight="1" x14ac:dyDescent="0.25">
      <c r="A27" s="4"/>
      <c r="B27" s="17" t="s">
        <v>129</v>
      </c>
      <c r="C27" s="4"/>
      <c r="D27" s="324"/>
      <c r="E27" s="324"/>
      <c r="F27" s="324"/>
      <c r="G27" s="4"/>
      <c r="H27" s="4"/>
      <c r="I27" s="4"/>
      <c r="J27" s="4"/>
      <c r="K27" s="18"/>
    </row>
    <row r="28" spans="1:14" ht="15.75" customHeight="1" x14ac:dyDescent="0.25">
      <c r="A28" s="4"/>
      <c r="B28" s="17" t="s">
        <v>93</v>
      </c>
      <c r="C28" s="4"/>
      <c r="D28" s="4"/>
      <c r="E28" s="4"/>
      <c r="F28" s="4"/>
      <c r="G28" s="4"/>
      <c r="H28" s="4"/>
      <c r="I28" s="4"/>
      <c r="J28" s="4"/>
      <c r="K28" s="18"/>
    </row>
    <row r="29" spans="1:14" ht="15.75" customHeight="1" x14ac:dyDescent="0.25">
      <c r="A29" s="4"/>
      <c r="B29" s="17" t="s">
        <v>94</v>
      </c>
      <c r="C29" s="4"/>
      <c r="D29" s="4" t="s">
        <v>108</v>
      </c>
      <c r="E29" s="4"/>
      <c r="F29" s="4"/>
      <c r="G29" s="4"/>
      <c r="H29" s="4"/>
      <c r="I29" s="4"/>
      <c r="J29" s="4"/>
      <c r="K29" s="18"/>
    </row>
    <row r="30" spans="1:14" ht="15.75" customHeight="1" x14ac:dyDescent="0.25">
      <c r="A30" s="4"/>
      <c r="B30" s="17" t="s">
        <v>95</v>
      </c>
      <c r="C30" s="4"/>
      <c r="D30" s="4"/>
      <c r="E30" s="4"/>
      <c r="F30" s="4"/>
      <c r="G30" s="4"/>
      <c r="H30" s="4"/>
      <c r="I30" s="4"/>
      <c r="J30" s="4"/>
      <c r="K30" s="18"/>
    </row>
    <row r="31" spans="1:14" ht="15.75" customHeight="1" x14ac:dyDescent="0.25">
      <c r="A31" s="4"/>
      <c r="B31" s="17" t="s">
        <v>96</v>
      </c>
      <c r="C31" s="4"/>
      <c r="D31" s="4"/>
      <c r="E31" s="4"/>
      <c r="F31" s="4"/>
      <c r="G31" s="4"/>
      <c r="H31" s="4"/>
      <c r="I31" s="4"/>
      <c r="J31" s="4"/>
      <c r="K31" s="18"/>
    </row>
    <row r="32" spans="1:14" ht="15.75" customHeight="1" x14ac:dyDescent="0.25">
      <c r="A32" s="4"/>
      <c r="B32" s="17" t="s">
        <v>97</v>
      </c>
      <c r="C32" s="4"/>
      <c r="D32" s="1" t="s">
        <v>103</v>
      </c>
      <c r="E32" s="4"/>
      <c r="F32" s="4"/>
      <c r="G32" s="4"/>
      <c r="H32" s="4"/>
      <c r="I32" s="4"/>
      <c r="J32" s="4"/>
      <c r="K32" s="18"/>
    </row>
    <row r="33" spans="1:11" ht="15.75" customHeight="1" x14ac:dyDescent="0.25">
      <c r="A33" s="4"/>
      <c r="B33" s="17"/>
      <c r="C33" s="4"/>
      <c r="D33" s="1" t="s">
        <v>121</v>
      </c>
      <c r="E33" s="4"/>
      <c r="F33" s="4"/>
      <c r="G33" s="4"/>
      <c r="H33" s="4"/>
      <c r="I33" s="4"/>
      <c r="J33" s="4"/>
      <c r="K33" s="18"/>
    </row>
    <row r="34" spans="1:11" ht="15.75" customHeight="1" x14ac:dyDescent="0.25">
      <c r="A34" s="4"/>
      <c r="B34" s="17"/>
      <c r="C34" s="4"/>
      <c r="D34" s="1" t="s">
        <v>124</v>
      </c>
      <c r="E34" s="1"/>
      <c r="F34" s="4"/>
      <c r="G34" s="4"/>
      <c r="H34" s="4"/>
      <c r="I34" s="4"/>
      <c r="J34" s="4"/>
      <c r="K34" s="18"/>
    </row>
    <row r="35" spans="1:11" ht="15.75" customHeight="1" x14ac:dyDescent="0.25">
      <c r="A35" s="38"/>
      <c r="B35" s="318" t="s">
        <v>125</v>
      </c>
      <c r="C35" s="113"/>
      <c r="D35" s="113"/>
      <c r="E35" s="113"/>
      <c r="F35" s="113"/>
      <c r="G35" s="113"/>
      <c r="H35" s="4"/>
      <c r="I35" s="4"/>
      <c r="J35" s="4"/>
      <c r="K35" s="18"/>
    </row>
    <row r="36" spans="1:11" ht="15.75" customHeight="1" x14ac:dyDescent="0.25">
      <c r="A36" s="38"/>
      <c r="B36" s="318" t="s">
        <v>126</v>
      </c>
      <c r="C36" s="113"/>
      <c r="D36" s="113"/>
      <c r="E36" s="113"/>
      <c r="F36" s="113"/>
      <c r="G36" s="113"/>
      <c r="H36" s="4"/>
      <c r="I36" s="4"/>
      <c r="J36" s="4"/>
      <c r="K36" s="18"/>
    </row>
    <row r="37" spans="1:11" ht="15.75" customHeight="1" x14ac:dyDescent="0.25">
      <c r="A37" s="27"/>
      <c r="B37" s="26" t="s">
        <v>98</v>
      </c>
      <c r="C37" s="39" t="str">
        <f>'input data'!B6</f>
        <v>AD240725023182F</v>
      </c>
      <c r="D37" s="27"/>
      <c r="E37" s="27"/>
      <c r="F37" s="27"/>
      <c r="G37" s="27"/>
      <c r="H37" s="4"/>
      <c r="I37" s="4"/>
      <c r="J37" s="4"/>
      <c r="K37" s="18"/>
    </row>
    <row r="38" spans="1:11" ht="15.75" customHeight="1" x14ac:dyDescent="0.25">
      <c r="A38" s="4"/>
      <c r="B38" s="25" t="s">
        <v>104</v>
      </c>
      <c r="C38" s="4"/>
      <c r="D38" s="4"/>
      <c r="E38" s="4"/>
      <c r="F38" s="4"/>
      <c r="G38" s="4"/>
      <c r="H38" s="4"/>
      <c r="I38" s="4"/>
      <c r="J38" s="4"/>
      <c r="K38" s="18"/>
    </row>
    <row r="39" spans="1:11" ht="15.75" customHeight="1" x14ac:dyDescent="0.25">
      <c r="A39" s="4"/>
      <c r="B39" s="17"/>
      <c r="C39" s="4"/>
      <c r="D39" s="4"/>
      <c r="E39" s="4"/>
      <c r="F39" s="4"/>
      <c r="G39" s="4"/>
      <c r="H39" s="4"/>
      <c r="I39" s="4"/>
      <c r="J39" s="4"/>
      <c r="K39" s="18"/>
    </row>
    <row r="40" spans="1:11" ht="15.75" customHeight="1" x14ac:dyDescent="0.25">
      <c r="A40" s="4"/>
      <c r="B40" s="17"/>
      <c r="C40" s="4"/>
      <c r="D40" s="4"/>
      <c r="E40" s="4"/>
      <c r="F40" s="4"/>
      <c r="G40" s="4"/>
      <c r="H40" s="4"/>
      <c r="I40" s="4"/>
      <c r="J40" s="4"/>
      <c r="K40" s="18"/>
    </row>
    <row r="41" spans="1:11" ht="15.75" customHeight="1" thickBot="1" x14ac:dyDescent="0.3">
      <c r="A41" s="4"/>
      <c r="B41" s="22"/>
      <c r="C41" s="23"/>
      <c r="D41" s="23"/>
      <c r="E41" s="23"/>
      <c r="F41" s="23"/>
      <c r="G41" s="23"/>
      <c r="H41" s="23"/>
      <c r="I41" s="23"/>
      <c r="J41" s="23"/>
      <c r="K41" s="21"/>
    </row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33">
    <mergeCell ref="D27:F27"/>
    <mergeCell ref="B35:G35"/>
    <mergeCell ref="B36:G36"/>
    <mergeCell ref="B22:E22"/>
    <mergeCell ref="H22:I22"/>
    <mergeCell ref="J22:K22"/>
    <mergeCell ref="B23:C23"/>
    <mergeCell ref="J23:K23"/>
    <mergeCell ref="B25:C25"/>
    <mergeCell ref="B20:E20"/>
    <mergeCell ref="F20:G20"/>
    <mergeCell ref="H20:I20"/>
    <mergeCell ref="J20:K20"/>
    <mergeCell ref="B21:E21"/>
    <mergeCell ref="H21:I21"/>
    <mergeCell ref="J21:K21"/>
    <mergeCell ref="B19:E19"/>
    <mergeCell ref="F19:G19"/>
    <mergeCell ref="H19:I19"/>
    <mergeCell ref="J19:K19"/>
    <mergeCell ref="B7:K7"/>
    <mergeCell ref="B13:G13"/>
    <mergeCell ref="B14:G15"/>
    <mergeCell ref="B18:E18"/>
    <mergeCell ref="F18:G18"/>
    <mergeCell ref="H18:I18"/>
    <mergeCell ref="J18:K18"/>
    <mergeCell ref="B5:K5"/>
    <mergeCell ref="B1:K2"/>
    <mergeCell ref="R1:V1"/>
    <mergeCell ref="W1:Y1"/>
    <mergeCell ref="B3:K3"/>
    <mergeCell ref="B4:K4"/>
  </mergeCells>
  <pageMargins left="0.7" right="0.7" top="0.75" bottom="0.75" header="0.3" footer="0.3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company data</vt:lpstr>
      <vt:lpstr>input data</vt:lpstr>
      <vt:lpstr>Invoice rockstone</vt:lpstr>
      <vt:lpstr>Peacking List</vt:lpstr>
      <vt:lpstr>PO</vt:lpstr>
      <vt:lpstr>Sheet1</vt:lpstr>
      <vt:lpstr>Sheet2</vt:lpstr>
      <vt:lpstr>PO!Print_Area</vt:lpstr>
      <vt:lpstr>Sheet1!Print_Area</vt:lpstr>
      <vt:lpstr>Sheet2!Print_Area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</dc:creator>
  <cp:lastModifiedBy>Mewad Trading</cp:lastModifiedBy>
  <cp:lastPrinted>2025-10-15T08:17:17Z</cp:lastPrinted>
  <dcterms:created xsi:type="dcterms:W3CDTF">2022-11-23T06:47:43Z</dcterms:created>
  <dcterms:modified xsi:type="dcterms:W3CDTF">2025-12-19T13:02:44Z</dcterms:modified>
</cp:coreProperties>
</file>