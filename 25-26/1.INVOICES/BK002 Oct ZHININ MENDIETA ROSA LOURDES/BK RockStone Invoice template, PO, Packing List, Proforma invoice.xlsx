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BK ROCKSTONE PVT LTD\BK Rockstone Invoices\25-26\1.INVOICES\BK002 Oct ZHININ MENDIETA ROSA LOURDES\"/>
    </mc:Choice>
  </mc:AlternateContent>
  <bookViews>
    <workbookView xWindow="0" yWindow="0" windowWidth="20490" windowHeight="7755" activeTab="2"/>
  </bookViews>
  <sheets>
    <sheet name="company data" sheetId="1" r:id="rId1"/>
    <sheet name="input data" sheetId="2" r:id="rId2"/>
    <sheet name="Invoice rockstone" sheetId="6" r:id="rId3"/>
    <sheet name="Peacking List" sheetId="4" r:id="rId4"/>
    <sheet name="PO" sheetId="5" r:id="rId5"/>
    <sheet name="Sheet1" sheetId="7" r:id="rId6"/>
    <sheet name="Sheet2" sheetId="8" r:id="rId7"/>
  </sheets>
  <definedNames>
    <definedName name="_xlnm.Print_Area" localSheetId="4">PO!$A$1:$K$43</definedName>
    <definedName name="_xlnm.Print_Area" localSheetId="5">Sheet1!$A$1:$K$42</definedName>
    <definedName name="_xlnm.Print_Area" localSheetId="6">Sheet2!$A$1:$K$41</definedName>
  </definedNames>
  <calcPr calcId="152511"/>
  <extLst>
    <ext uri="GoogleSheetsCustomDataVersion2">
      <go:sheetsCustomData xmlns:go="http://customooxmlschemas.google.com/" r:id="rId9" roundtripDataChecksum="0UDH6hR5QprJBtfF4YeReHDvc/QhxlqsMNJhY5nbzoU="/>
    </ext>
  </extLst>
</workbook>
</file>

<file path=xl/calcChain.xml><?xml version="1.0" encoding="utf-8"?>
<calcChain xmlns="http://schemas.openxmlformats.org/spreadsheetml/2006/main">
  <c r="E6" i="6" l="1"/>
  <c r="F29" i="6" l="1"/>
  <c r="I29" i="6" s="1"/>
  <c r="I30" i="6"/>
  <c r="I28" i="6"/>
  <c r="J20" i="7"/>
  <c r="J19" i="7"/>
  <c r="J20" i="5" l="1"/>
  <c r="A19" i="4" l="1"/>
  <c r="A12" i="4"/>
  <c r="G19" i="4"/>
  <c r="G17" i="4"/>
  <c r="I15" i="4"/>
  <c r="D19" i="4"/>
  <c r="D17" i="4"/>
  <c r="D15" i="4"/>
  <c r="G12" i="4"/>
  <c r="A15" i="6"/>
  <c r="E15" i="6"/>
  <c r="A29" i="4" l="1"/>
  <c r="J19" i="8" l="1"/>
  <c r="J20" i="8" s="1"/>
  <c r="J21" i="8" l="1"/>
  <c r="J23" i="8" s="1"/>
  <c r="J21" i="7"/>
  <c r="J23" i="7" l="1"/>
  <c r="B6" i="2" l="1"/>
  <c r="B24" i="4"/>
  <c r="B25" i="4"/>
  <c r="B23" i="4"/>
  <c r="I3" i="4"/>
  <c r="H30" i="6"/>
  <c r="H29" i="6"/>
  <c r="F30" i="6"/>
  <c r="I25" i="4" s="1"/>
  <c r="I24" i="4"/>
  <c r="F28" i="6"/>
  <c r="I23" i="4" s="1"/>
  <c r="B30" i="6"/>
  <c r="D25" i="4" s="1"/>
  <c r="B29" i="6"/>
  <c r="D24" i="4" s="1"/>
  <c r="B28" i="6"/>
  <c r="D23" i="4" s="1"/>
  <c r="H4" i="6"/>
  <c r="C37" i="8" l="1"/>
  <c r="C37" i="7"/>
  <c r="I26" i="4"/>
  <c r="C32" i="6"/>
  <c r="A32" i="6"/>
  <c r="H28" i="6"/>
  <c r="H25" i="6"/>
  <c r="E25" i="6"/>
  <c r="C25" i="6"/>
  <c r="H22" i="6"/>
  <c r="C22" i="6"/>
  <c r="H12" i="6"/>
  <c r="E12" i="6"/>
  <c r="H10" i="6"/>
  <c r="E10" i="6"/>
  <c r="I34" i="6" l="1"/>
  <c r="H6" i="6"/>
  <c r="J19" i="5" l="1"/>
  <c r="J21" i="5" s="1"/>
  <c r="C29" i="4" l="1"/>
  <c r="B3" i="2" l="1"/>
  <c r="E4" i="6" l="1"/>
  <c r="G3" i="4"/>
  <c r="G5" i="4"/>
  <c r="C38" i="5"/>
  <c r="C31" i="4"/>
  <c r="J22" i="5" l="1"/>
  <c r="J24" i="5" s="1"/>
</calcChain>
</file>

<file path=xl/sharedStrings.xml><?xml version="1.0" encoding="utf-8"?>
<sst xmlns="http://schemas.openxmlformats.org/spreadsheetml/2006/main" count="278" uniqueCount="175">
  <si>
    <t>financial year</t>
  </si>
  <si>
    <t>Kind of packing</t>
  </si>
  <si>
    <t>type of container</t>
  </si>
  <si>
    <t>terms of delivery</t>
  </si>
  <si>
    <t>terms of payment</t>
  </si>
  <si>
    <t>FCL</t>
  </si>
  <si>
    <t>FOB</t>
  </si>
  <si>
    <t>Loose packing</t>
  </si>
  <si>
    <t>CIF</t>
  </si>
  <si>
    <t>100 % Advance</t>
  </si>
  <si>
    <t>American Standard</t>
  </si>
  <si>
    <t>CNF</t>
  </si>
  <si>
    <t>70 %  Advance, Remaning Against Document</t>
  </si>
  <si>
    <t>100% Against Documents</t>
  </si>
  <si>
    <t>Financial Year</t>
  </si>
  <si>
    <t>No.</t>
  </si>
  <si>
    <t>Invoice Number</t>
  </si>
  <si>
    <t>Date</t>
  </si>
  <si>
    <t xml:space="preserve">LUT No: </t>
  </si>
  <si>
    <t>Party Name</t>
  </si>
  <si>
    <t>number of containers</t>
  </si>
  <si>
    <t>Kind of Packing</t>
  </si>
  <si>
    <t>Type of container</t>
  </si>
  <si>
    <t>Terms of delivery</t>
  </si>
  <si>
    <t>Terms of payment</t>
  </si>
  <si>
    <t>Place Of Receipt By Pre-Carrier</t>
  </si>
  <si>
    <t>Port Of Loading</t>
  </si>
  <si>
    <t xml:space="preserve">Port Of Discharge </t>
  </si>
  <si>
    <t xml:space="preserve">Place Of Delivery </t>
  </si>
  <si>
    <t>Country Of Final Destination</t>
  </si>
  <si>
    <t xml:space="preserve">  Container No.</t>
  </si>
  <si>
    <t>Slabs</t>
  </si>
  <si>
    <t>Rate  Per</t>
  </si>
  <si>
    <t xml:space="preserve">INVOICE </t>
  </si>
  <si>
    <t xml:space="preserve">EXPORTER </t>
  </si>
  <si>
    <t>INVOICE NO.</t>
  </si>
  <si>
    <t>DATE</t>
  </si>
  <si>
    <t>LUT/ARN NO.</t>
  </si>
  <si>
    <t>PAN NO. /IEC CODE</t>
  </si>
  <si>
    <t>GSTIN</t>
  </si>
  <si>
    <t xml:space="preserve">KIND OF PACKING </t>
  </si>
  <si>
    <t>TYPE OF CONTAINER</t>
  </si>
  <si>
    <t>CONSIGNEE</t>
  </si>
  <si>
    <t xml:space="preserve">TERMS OF DELIVERY </t>
  </si>
  <si>
    <t>TERMS OF PAYMENT</t>
  </si>
  <si>
    <t>NOTIFY PARTY</t>
  </si>
  <si>
    <t>Per Carriage By</t>
  </si>
  <si>
    <t xml:space="preserve">Country Of Origin Of Goods </t>
  </si>
  <si>
    <t>By Road Truck No.</t>
  </si>
  <si>
    <t>INDIA</t>
  </si>
  <si>
    <t>Vessel/ Flight No.</t>
  </si>
  <si>
    <t>Sr. No.</t>
  </si>
  <si>
    <t xml:space="preserve">Description Of Goods </t>
  </si>
  <si>
    <t>HS CODE</t>
  </si>
  <si>
    <t>Quantity in</t>
  </si>
  <si>
    <t xml:space="preserve">TOTAL AMOUNT </t>
  </si>
  <si>
    <t>SQM</t>
  </si>
  <si>
    <t>(IN USD)</t>
  </si>
  <si>
    <t>Gross Weight</t>
  </si>
  <si>
    <t>Net Weight</t>
  </si>
  <si>
    <t>27500 kgs</t>
  </si>
  <si>
    <t>Amount in Words:</t>
  </si>
  <si>
    <t>Declaration</t>
  </si>
  <si>
    <r>
      <rPr>
        <sz val="11"/>
        <color theme="1"/>
        <rFont val="Calibri"/>
        <family val="2"/>
      </rPr>
      <t>*</t>
    </r>
    <r>
      <rPr>
        <sz val="9"/>
        <color theme="1"/>
        <rFont val="Calibri"/>
        <family val="2"/>
      </rPr>
      <t xml:space="preserve"> We declare that invoice shows the actual price of the  goods described and that all particulars are true and correct.</t>
    </r>
  </si>
  <si>
    <t xml:space="preserve">*  Thickness Variation will be -/+1mm.
</t>
  </si>
  <si>
    <t xml:space="preserve">Authorised Signatory </t>
  </si>
  <si>
    <t>PACKING LIST</t>
  </si>
  <si>
    <t>EXPORTER</t>
  </si>
  <si>
    <t>OTHER REFERENCE(S)</t>
  </si>
  <si>
    <t>Country of Origin of Goods</t>
  </si>
  <si>
    <t>Country of Final Destination</t>
  </si>
  <si>
    <t xml:space="preserve">Pre-Carriage by </t>
  </si>
  <si>
    <t>Place of Receipt by Pre-carrier</t>
  </si>
  <si>
    <t>Vessel/Flight No.</t>
  </si>
  <si>
    <t xml:space="preserve">Port Of Loading </t>
  </si>
  <si>
    <t>Terms of Payment</t>
  </si>
  <si>
    <t>HSN CODE</t>
  </si>
  <si>
    <t>TOTAL</t>
  </si>
  <si>
    <t>Container No.</t>
  </si>
  <si>
    <t>27500kgs</t>
  </si>
  <si>
    <t xml:space="preserve">PACKING TYPE : </t>
  </si>
  <si>
    <t>QUANTITY  : 1X20 FT CONTAINER</t>
  </si>
  <si>
    <t xml:space="preserve">DECLARATION </t>
  </si>
  <si>
    <t>*   Zero rated export under LUT.</t>
  </si>
  <si>
    <t xml:space="preserve">Authorised Signature </t>
  </si>
  <si>
    <t>DATE:</t>
  </si>
  <si>
    <t>REF. NO.</t>
  </si>
  <si>
    <t>TO,</t>
  </si>
  <si>
    <t>Dear Sir/ Madam,</t>
  </si>
  <si>
    <t>Description</t>
  </si>
  <si>
    <t xml:space="preserve">RATES </t>
  </si>
  <si>
    <t>AMOUNT</t>
  </si>
  <si>
    <t>GRAND TOTAL</t>
  </si>
  <si>
    <t xml:space="preserve">OTHER DETAILS </t>
  </si>
  <si>
    <t>Packing</t>
  </si>
  <si>
    <t>Port of Delivery</t>
  </si>
  <si>
    <t xml:space="preserve">Port of Loading </t>
  </si>
  <si>
    <t xml:space="preserve">Country of Destination </t>
  </si>
  <si>
    <t xml:space="preserve">Weight </t>
  </si>
  <si>
    <t xml:space="preserve">Invoice Address: </t>
  </si>
  <si>
    <t xml:space="preserve">LUT NO: </t>
  </si>
  <si>
    <t>25-26</t>
  </si>
  <si>
    <t>LC at Sight</t>
  </si>
  <si>
    <t>24AANCB5070H1ZO</t>
  </si>
  <si>
    <t>AANCB5070H</t>
  </si>
  <si>
    <t>BK ROCKSTONE PRIVATE LIMITED</t>
  </si>
  <si>
    <t>For BK ROCKSTONE PRIVATE LIMITED</t>
  </si>
  <si>
    <t>Director</t>
  </si>
  <si>
    <t>PROFORMA INVOICE</t>
  </si>
  <si>
    <t>IE CODE  : AANCB5070H</t>
  </si>
  <si>
    <t>CHENNAI</t>
  </si>
  <si>
    <t>TOTAL SLABS</t>
  </si>
  <si>
    <t>Quantity 1</t>
  </si>
  <si>
    <t>Poduct Name 1</t>
  </si>
  <si>
    <t xml:space="preserve"> Container No.</t>
  </si>
  <si>
    <t>Rate  quantity 1</t>
  </si>
  <si>
    <t>Poduct Name 2</t>
  </si>
  <si>
    <t>Quantity 2</t>
  </si>
  <si>
    <t>Rate  quantity 2</t>
  </si>
  <si>
    <t>Poduct Name 3</t>
  </si>
  <si>
    <t>Quantity 3</t>
  </si>
  <si>
    <t>Rate  quantity 3</t>
  </si>
  <si>
    <t>Proforma Invoice</t>
  </si>
  <si>
    <t xml:space="preserve">90/3, NR. BRAMBHANI ICE FACTORY, NR. RADHIKA SOCIETY, </t>
  </si>
  <si>
    <t xml:space="preserve"> JASHODANAGAR CANAL ROAD, CTM CHAR RASTA, AHMEDABAD, AHMEDABAD, GUJARAT, 380026.</t>
  </si>
  <si>
    <t>info@bkrockstone.com, www.bkrockstone.com , +91-9313035076, +91-926580144</t>
  </si>
  <si>
    <t>JASHODANAGAR CANAL ROAD, CTM CHAR RASTA, GUJARAT, 380026.</t>
  </si>
  <si>
    <t>IEC NO.    AANCB5070H</t>
  </si>
  <si>
    <t>GSTIN NO.  24AANCB5070H1ZO</t>
  </si>
  <si>
    <t>PAN NO. : AANCB5070H</t>
  </si>
  <si>
    <t>SQ FOOT</t>
  </si>
  <si>
    <t>Delivery Time</t>
  </si>
  <si>
    <t>PURCHASE ORDER</t>
  </si>
  <si>
    <t>Polised Granite slabs</t>
  </si>
  <si>
    <t>GST 0.1%</t>
  </si>
  <si>
    <t>LOOSE</t>
  </si>
  <si>
    <t xml:space="preserve"> 17 September 2025</t>
  </si>
  <si>
    <t xml:space="preserve">Polised Granite slabs </t>
  </si>
  <si>
    <t xml:space="preserve"> PO01.3/25-26</t>
  </si>
  <si>
    <t>SRI VENKATESWARA EXPORTS</t>
  </si>
  <si>
    <t>SY NO:88/3C1,BUDAWADA(VIL),.        
CHIMAKURTHY(M.D),PRAKASAM(DIST),.                                    GSTIN:37ABYPL5026E2ZC</t>
  </si>
  <si>
    <t>Polished Granite Slabs</t>
  </si>
  <si>
    <t xml:space="preserve">30 % Advance, Remaning Against Document within 7 </t>
  </si>
  <si>
    <t>30% Advance and Remaining Against BL within 7 days</t>
  </si>
  <si>
    <t>Wooden Crate Packing</t>
  </si>
  <si>
    <t>ACCOUNT NAME :  BK ROCKSTONE PVT LTD</t>
  </si>
  <si>
    <t>BANK NAME : BANK OF BARODA</t>
  </si>
  <si>
    <t>ACCOUNT NUMBER :  14970200000778</t>
  </si>
  <si>
    <t>SWIFT CODE : BARBINBBVAT</t>
  </si>
  <si>
    <t>IFSC CODE :  BARBOMANEAS (fifth digit zero)</t>
  </si>
  <si>
    <t>BRANCH : MANINAGAR (EAST)</t>
  </si>
  <si>
    <t>DAPSE EXPRESS INTERNATIONAL LOGISTICS AND TRADE 
RUC 172011272001
operaciones@dapseexpress.com
Teléfono: 0987681580
QUITO-ECUADOR</t>
  </si>
  <si>
    <t>Bank Details</t>
  </si>
  <si>
    <t>02</t>
  </si>
  <si>
    <t xml:space="preserve">90/3, NR. BRAMBHANI ICE FACTORY, NR. RADHIKA SOCIETY,  JASHODANAGAR CANAL ROAD, CTM CHAR RASTA, AHMEDABAD, AHMEDABAD, GUJARAT, 380026.
Email: info@bkrockstone.com
Website: www.bkrockstone.com
GST: 24AANCB5070H1ZO
Contact No: +919537651265, +91926580144
</t>
  </si>
  <si>
    <t>*  We declare that this invoice shows the actual price of the goods described and that all particulars are true and correct.</t>
  </si>
  <si>
    <t>Terms of Delivery</t>
  </si>
  <si>
    <t>MUNDRA</t>
  </si>
  <si>
    <t>GUAYAQUIL</t>
  </si>
  <si>
    <t>ECUADOR</t>
  </si>
  <si>
    <t>MSDU1249256</t>
  </si>
  <si>
    <t xml:space="preserve"> PO02.1/25-26</t>
  </si>
  <si>
    <t xml:space="preserve"> 7 HILLS GRANIMARMO PRIVATE LIMITED</t>
  </si>
  <si>
    <t>KHASRA NO 884/9, PLOT NO 44,45, VILLAGE-RALAWATA,
 TEHSIL-KISHANGARH, Ajmer, Rajasthan, 305801
 GST: 08AABCZ7282R1ZB</t>
  </si>
  <si>
    <t>WOODEN CRATE PACKING</t>
  </si>
  <si>
    <t xml:space="preserve"> PO02.2/25-26</t>
  </si>
  <si>
    <t>GST 18%</t>
  </si>
  <si>
    <t xml:space="preserve"> PARV GRANITES</t>
  </si>
  <si>
    <t>PRATAPPURA, BADGAON , UDAIPUR (313001)
 RAJASTHAN, INDIA . +91 9461402354
 GST Number :  08BEYPB0212C1ZZ
 PARVGRANITES@GMAIL.COM</t>
  </si>
  <si>
    <t>90/3, NR. BRAMBHANI ICE FACTORY, NR. RADHIKA SOCIETY,  JASHODANAGAR CANAL ROAD, CTM CHAR RASTA, AHMEDABAD, AHMEDABAD, GUJARAT, 380026.
Website: www.bkrockstone.com
Email: info@bkrockstone.com
Contact No: +919537651265, +919265280144</t>
  </si>
  <si>
    <t>Eight Thousand Seven Hundred Twenty Dollars and Ninety Five Cents</t>
  </si>
  <si>
    <t>ZHIÑIN MENDIETA ROSA LOURDES
RUC: 0105370399001
DIRECCIÓN: Barrio: HUISHIL ALTO Calle: 1 DE SEPTIEMBRE
Número: S/N Intersección: BUENA ESPERANZA
Referencia: DIAGONAL A LA HOSTERIA CABALLO CAMPANA
Cuenca - Ecuador</t>
  </si>
  <si>
    <t>PI1908/25-26</t>
  </si>
  <si>
    <t>27000 kgs</t>
  </si>
  <si>
    <t>27000kgs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</si>
</sst>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#&quot; / &quot;"/>
    <numFmt numFmtId="165" formatCode="d/m/yyyy"/>
    <numFmt numFmtId="166" formatCode="_-[$$-409]* #,##0.00_ ;_-[$$-409]* \-#,##0.00\ ;_-[$$-409]* &quot;-&quot;??_ ;_-@_ "/>
    <numFmt numFmtId="167" formatCode="[$-F800]dddd\,\ mmmm\ dd\,\ yyyy"/>
    <numFmt numFmtId="168" formatCode="[$-14009]dd/mm/yyyy;@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20"/>
      <color theme="1"/>
      <name val="Calibri"/>
      <family val="2"/>
    </font>
    <font>
      <sz val="11"/>
      <name val="Calibri"/>
      <family val="2"/>
    </font>
    <font>
      <sz val="11"/>
      <color rgb="FF252525"/>
      <name val="Calibri"/>
      <family val="2"/>
    </font>
    <font>
      <b/>
      <sz val="9"/>
      <color theme="1"/>
      <name val="Calibri"/>
      <family val="2"/>
    </font>
    <font>
      <b/>
      <sz val="16"/>
      <color theme="1"/>
      <name val="Calibri"/>
      <family val="2"/>
    </font>
    <font>
      <b/>
      <sz val="14"/>
      <color theme="1"/>
      <name val="Calibri"/>
      <family val="2"/>
    </font>
    <font>
      <b/>
      <u/>
      <sz val="11"/>
      <color theme="1"/>
      <name val="Calibri"/>
      <family val="2"/>
    </font>
    <font>
      <sz val="9"/>
      <color theme="1"/>
      <name val="Calibri"/>
      <family val="2"/>
    </font>
    <font>
      <b/>
      <sz val="12"/>
      <color theme="1"/>
      <name val="Calibri"/>
      <family val="2"/>
    </font>
    <font>
      <b/>
      <sz val="28"/>
      <color rgb="FF00B0F0"/>
      <name val="Calibri"/>
      <family val="2"/>
    </font>
    <font>
      <b/>
      <u/>
      <sz val="14"/>
      <color theme="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9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1">
    <xf numFmtId="0" fontId="0" fillId="0" borderId="0" xfId="0" applyFont="1" applyAlignme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left"/>
    </xf>
    <xf numFmtId="0" fontId="6" fillId="0" borderId="0" xfId="0" applyFont="1"/>
    <xf numFmtId="49" fontId="6" fillId="0" borderId="0" xfId="0" applyNumberFormat="1" applyFont="1" applyAlignment="1">
      <alignment horizontal="left"/>
    </xf>
    <xf numFmtId="164" fontId="6" fillId="0" borderId="0" xfId="0" applyNumberFormat="1" applyFont="1" applyAlignment="1">
      <alignment horizontal="left"/>
    </xf>
    <xf numFmtId="165" fontId="6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wrapText="1"/>
    </xf>
    <xf numFmtId="165" fontId="6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0" borderId="14" xfId="0" applyFont="1" applyBorder="1" applyAlignment="1"/>
    <xf numFmtId="0" fontId="6" fillId="0" borderId="8" xfId="0" applyFont="1" applyBorder="1"/>
    <xf numFmtId="0" fontId="6" fillId="0" borderId="7" xfId="0" applyFont="1" applyBorder="1"/>
    <xf numFmtId="0" fontId="6" fillId="0" borderId="1" xfId="0" applyFont="1" applyBorder="1"/>
    <xf numFmtId="0" fontId="6" fillId="0" borderId="2" xfId="0" applyFont="1" applyBorder="1"/>
    <xf numFmtId="0" fontId="4" fillId="0" borderId="5" xfId="0" applyFont="1" applyBorder="1"/>
    <xf numFmtId="0" fontId="15" fillId="0" borderId="5" xfId="0" applyFont="1" applyBorder="1"/>
    <xf numFmtId="0" fontId="15" fillId="0" borderId="0" xfId="0" applyFont="1"/>
    <xf numFmtId="0" fontId="6" fillId="0" borderId="10" xfId="0" applyFont="1" applyBorder="1"/>
    <xf numFmtId="0" fontId="6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6" fillId="0" borderId="0" xfId="0" applyFont="1" applyAlignment="1"/>
    <xf numFmtId="0" fontId="6" fillId="0" borderId="0" xfId="0" applyFont="1" applyAlignment="1">
      <alignment horizontal="left" vertical="top" wrapText="1"/>
    </xf>
    <xf numFmtId="0" fontId="6" fillId="0" borderId="26" xfId="0" applyFont="1" applyBorder="1"/>
    <xf numFmtId="0" fontId="18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165" fontId="15" fillId="0" borderId="0" xfId="0" applyNumberFormat="1" applyFont="1"/>
    <xf numFmtId="0" fontId="3" fillId="0" borderId="0" xfId="0" applyFont="1"/>
    <xf numFmtId="0" fontId="0" fillId="0" borderId="0" xfId="0" applyFont="1" applyAlignment="1"/>
    <xf numFmtId="167" fontId="6" fillId="0" borderId="0" xfId="0" applyNumberFormat="1" applyFont="1" applyAlignment="1">
      <alignment horizontal="left"/>
    </xf>
    <xf numFmtId="0" fontId="2" fillId="0" borderId="0" xfId="0" applyFont="1" applyAlignment="1"/>
    <xf numFmtId="0" fontId="6" fillId="0" borderId="16" xfId="0" applyFont="1" applyBorder="1"/>
    <xf numFmtId="0" fontId="6" fillId="0" borderId="19" xfId="0" applyFont="1" applyBorder="1"/>
    <xf numFmtId="166" fontId="6" fillId="0" borderId="12" xfId="0" applyNumberFormat="1" applyFont="1" applyBorder="1" applyAlignment="1">
      <alignment horizontal="center"/>
    </xf>
    <xf numFmtId="0" fontId="6" fillId="0" borderId="17" xfId="0" applyFont="1" applyBorder="1"/>
    <xf numFmtId="0" fontId="0" fillId="0" borderId="0" xfId="0" applyFont="1" applyAlignment="1"/>
    <xf numFmtId="0" fontId="4" fillId="0" borderId="35" xfId="0" applyFont="1" applyBorder="1"/>
    <xf numFmtId="0" fontId="6" fillId="0" borderId="42" xfId="0" applyFont="1" applyBorder="1"/>
    <xf numFmtId="0" fontId="6" fillId="0" borderId="45" xfId="0" applyFont="1" applyBorder="1"/>
    <xf numFmtId="0" fontId="6" fillId="0" borderId="33" xfId="0" applyFont="1" applyBorder="1"/>
    <xf numFmtId="0" fontId="6" fillId="0" borderId="34" xfId="0" applyFont="1" applyBorder="1"/>
    <xf numFmtId="0" fontId="6" fillId="0" borderId="15" xfId="0" applyFont="1" applyBorder="1"/>
    <xf numFmtId="0" fontId="6" fillId="0" borderId="36" xfId="0" applyFont="1" applyBorder="1"/>
    <xf numFmtId="0" fontId="0" fillId="0" borderId="0" xfId="0" applyFont="1" applyAlignment="1"/>
    <xf numFmtId="166" fontId="6" fillId="0" borderId="31" xfId="0" applyNumberFormat="1" applyFont="1" applyBorder="1" applyAlignment="1">
      <alignment horizontal="center"/>
    </xf>
    <xf numFmtId="0" fontId="6" fillId="0" borderId="46" xfId="0" applyFont="1" applyBorder="1"/>
    <xf numFmtId="0" fontId="4" fillId="0" borderId="36" xfId="0" applyFont="1" applyBorder="1" applyAlignment="1"/>
    <xf numFmtId="0" fontId="4" fillId="0" borderId="32" xfId="0" applyFont="1" applyBorder="1"/>
    <xf numFmtId="0" fontId="5" fillId="0" borderId="12" xfId="0" applyFont="1" applyBorder="1" applyAlignment="1"/>
    <xf numFmtId="0" fontId="5" fillId="0" borderId="31" xfId="0" applyFont="1" applyBorder="1" applyAlignment="1"/>
    <xf numFmtId="0" fontId="6" fillId="0" borderId="0" xfId="0" applyFont="1" applyAlignment="1">
      <alignment horizontal="left" vertical="top"/>
    </xf>
    <xf numFmtId="0" fontId="0" fillId="0" borderId="0" xfId="0" applyFont="1" applyAlignment="1">
      <alignment vertical="top"/>
    </xf>
    <xf numFmtId="0" fontId="0" fillId="0" borderId="0" xfId="0" applyFont="1" applyAlignment="1"/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/>
    </xf>
    <xf numFmtId="0" fontId="0" fillId="0" borderId="0" xfId="0" applyFont="1" applyAlignment="1"/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/>
    </xf>
    <xf numFmtId="4" fontId="0" fillId="0" borderId="0" xfId="0" applyNumberFormat="1" applyFont="1" applyAlignment="1">
      <alignment vertical="top"/>
    </xf>
    <xf numFmtId="0" fontId="6" fillId="0" borderId="16" xfId="0" applyFont="1" applyBorder="1" applyAlignment="1">
      <alignment horizontal="left"/>
    </xf>
    <xf numFmtId="0" fontId="6" fillId="0" borderId="16" xfId="0" applyFont="1" applyBorder="1" applyAlignment="1">
      <alignment horizontal="center"/>
    </xf>
    <xf numFmtId="0" fontId="6" fillId="0" borderId="44" xfId="0" applyFont="1" applyBorder="1"/>
    <xf numFmtId="0" fontId="6" fillId="0" borderId="35" xfId="0" applyFont="1" applyBorder="1"/>
    <xf numFmtId="0" fontId="6" fillId="0" borderId="50" xfId="0" applyFont="1" applyBorder="1" applyAlignment="1">
      <alignment horizontal="center"/>
    </xf>
    <xf numFmtId="0" fontId="6" fillId="0" borderId="51" xfId="0" applyFont="1" applyBorder="1"/>
    <xf numFmtId="0" fontId="1" fillId="0" borderId="0" xfId="0" applyFont="1"/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36" xfId="0" applyFont="1" applyBorder="1" applyAlignment="1">
      <alignment horizontal="center"/>
    </xf>
    <xf numFmtId="0" fontId="6" fillId="0" borderId="40" xfId="0" applyFont="1" applyBorder="1"/>
    <xf numFmtId="0" fontId="15" fillId="0" borderId="15" xfId="0" applyFont="1" applyBorder="1"/>
    <xf numFmtId="0" fontId="15" fillId="0" borderId="16" xfId="0" applyFont="1" applyBorder="1"/>
    <xf numFmtId="0" fontId="15" fillId="0" borderId="36" xfId="0" applyFont="1" applyBorder="1"/>
    <xf numFmtId="0" fontId="6" fillId="0" borderId="47" xfId="0" applyFont="1" applyBorder="1"/>
    <xf numFmtId="0" fontId="4" fillId="0" borderId="49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52" xfId="0" applyFont="1" applyBorder="1"/>
    <xf numFmtId="0" fontId="4" fillId="0" borderId="35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36" xfId="0" applyFont="1" applyBorder="1" applyAlignment="1">
      <alignment horizontal="left"/>
    </xf>
    <xf numFmtId="0" fontId="4" fillId="0" borderId="37" xfId="0" applyFont="1" applyBorder="1" applyAlignment="1">
      <alignment horizontal="left"/>
    </xf>
    <xf numFmtId="0" fontId="6" fillId="0" borderId="19" xfId="0" applyFont="1" applyBorder="1" applyAlignment="1">
      <alignment horizontal="left"/>
    </xf>
    <xf numFmtId="0" fontId="6" fillId="0" borderId="38" xfId="0" applyFont="1" applyBorder="1" applyAlignment="1">
      <alignment horizontal="left"/>
    </xf>
    <xf numFmtId="0" fontId="0" fillId="0" borderId="0" xfId="0" applyFont="1" applyAlignment="1"/>
    <xf numFmtId="0" fontId="0" fillId="0" borderId="16" xfId="0" applyFont="1" applyBorder="1" applyAlignment="1"/>
    <xf numFmtId="165" fontId="6" fillId="0" borderId="0" xfId="0" applyNumberFormat="1" applyFont="1" applyAlignment="1">
      <alignment horizontal="left" vertical="top" wrapText="1"/>
    </xf>
    <xf numFmtId="0" fontId="4" fillId="0" borderId="0" xfId="0" applyFont="1" applyAlignment="1">
      <alignment vertical="top"/>
    </xf>
    <xf numFmtId="0" fontId="4" fillId="3" borderId="16" xfId="0" applyFont="1" applyFill="1" applyBorder="1" applyAlignment="1">
      <alignment vertical="top"/>
    </xf>
    <xf numFmtId="0" fontId="4" fillId="3" borderId="36" xfId="0" applyFont="1" applyFill="1" applyBorder="1" applyAlignment="1">
      <alignment vertical="top"/>
    </xf>
    <xf numFmtId="0" fontId="6" fillId="0" borderId="32" xfId="0" applyFont="1" applyBorder="1"/>
    <xf numFmtId="0" fontId="6" fillId="0" borderId="37" xfId="0" applyFont="1" applyBorder="1"/>
    <xf numFmtId="0" fontId="0" fillId="0" borderId="35" xfId="0" applyFont="1" applyBorder="1" applyAlignment="1"/>
    <xf numFmtId="0" fontId="0" fillId="0" borderId="41" xfId="0" applyFont="1" applyBorder="1" applyAlignment="1"/>
    <xf numFmtId="0" fontId="4" fillId="3" borderId="42" xfId="0" applyFont="1" applyFill="1" applyBorder="1" applyAlignment="1">
      <alignment vertical="top"/>
    </xf>
    <xf numFmtId="0" fontId="0" fillId="0" borderId="42" xfId="0" applyFont="1" applyBorder="1" applyAlignment="1"/>
    <xf numFmtId="0" fontId="4" fillId="3" borderId="46" xfId="0" applyFont="1" applyFill="1" applyBorder="1" applyAlignment="1">
      <alignment vertical="top"/>
    </xf>
    <xf numFmtId="0" fontId="0" fillId="0" borderId="0" xfId="0" applyFont="1" applyAlignment="1">
      <alignment vertical="top"/>
    </xf>
    <xf numFmtId="1" fontId="0" fillId="0" borderId="0" xfId="0" applyNumberFormat="1" applyFont="1" applyAlignment="1">
      <alignment vertical="top"/>
    </xf>
    <xf numFmtId="0" fontId="4" fillId="0" borderId="0" xfId="0" applyFont="1" applyAlignment="1">
      <alignment horizontal="left" vertical="top"/>
    </xf>
    <xf numFmtId="0" fontId="0" fillId="0" borderId="0" xfId="0" applyFont="1" applyAlignment="1">
      <alignment vertical="top"/>
    </xf>
    <xf numFmtId="0" fontId="6" fillId="0" borderId="0" xfId="0" applyFont="1" applyAlignment="1">
      <alignment horizontal="left" vertical="top" wrapText="1"/>
    </xf>
    <xf numFmtId="0" fontId="0" fillId="0" borderId="0" xfId="0" applyFont="1" applyAlignment="1"/>
    <xf numFmtId="0" fontId="4" fillId="0" borderId="45" xfId="0" applyFont="1" applyBorder="1" applyAlignment="1">
      <alignment horizontal="left" vertical="center" wrapText="1"/>
    </xf>
    <xf numFmtId="0" fontId="4" fillId="0" borderId="33" xfId="0" applyFont="1" applyBorder="1" applyAlignment="1">
      <alignment horizontal="left" vertical="center" wrapText="1"/>
    </xf>
    <xf numFmtId="0" fontId="4" fillId="0" borderId="34" xfId="0" applyFont="1" applyBorder="1" applyAlignment="1">
      <alignment horizontal="left" vertical="center" wrapText="1"/>
    </xf>
    <xf numFmtId="0" fontId="8" fillId="0" borderId="15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8" fillId="0" borderId="36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8" fillId="0" borderId="19" xfId="0" applyFont="1" applyBorder="1" applyAlignment="1">
      <alignment horizontal="left" vertical="top" wrapText="1"/>
    </xf>
    <xf numFmtId="0" fontId="8" fillId="0" borderId="38" xfId="0" applyFont="1" applyBorder="1" applyAlignment="1">
      <alignment horizontal="left" vertical="top" wrapText="1"/>
    </xf>
    <xf numFmtId="0" fontId="9" fillId="0" borderId="35" xfId="0" applyFont="1" applyBorder="1" applyAlignment="1">
      <alignment horizontal="left" vertical="top" wrapText="1"/>
    </xf>
    <xf numFmtId="0" fontId="9" fillId="0" borderId="16" xfId="0" applyFont="1" applyBorder="1" applyAlignment="1">
      <alignment horizontal="left" vertical="top" wrapText="1"/>
    </xf>
    <xf numFmtId="0" fontId="9" fillId="0" borderId="41" xfId="0" applyFont="1" applyBorder="1" applyAlignment="1">
      <alignment horizontal="left" vertical="top" wrapText="1"/>
    </xf>
    <xf numFmtId="0" fontId="9" fillId="0" borderId="42" xfId="0" applyFont="1" applyBorder="1" applyAlignment="1">
      <alignment horizontal="left" vertical="top" wrapText="1"/>
    </xf>
    <xf numFmtId="0" fontId="4" fillId="3" borderId="32" xfId="0" applyFont="1" applyFill="1" applyBorder="1" applyAlignment="1">
      <alignment horizontal="left" vertical="top"/>
    </xf>
    <xf numFmtId="0" fontId="4" fillId="3" borderId="33" xfId="0" applyFont="1" applyFill="1" applyBorder="1" applyAlignment="1">
      <alignment horizontal="left" vertical="top"/>
    </xf>
    <xf numFmtId="0" fontId="4" fillId="3" borderId="34" xfId="0" applyFont="1" applyFill="1" applyBorder="1" applyAlignment="1">
      <alignment horizontal="left" vertical="top"/>
    </xf>
    <xf numFmtId="0" fontId="13" fillId="0" borderId="53" xfId="0" applyFont="1" applyBorder="1" applyAlignment="1">
      <alignment horizontal="left"/>
    </xf>
    <xf numFmtId="0" fontId="13" fillId="0" borderId="54" xfId="0" applyFont="1" applyBorder="1" applyAlignment="1">
      <alignment horizontal="left"/>
    </xf>
    <xf numFmtId="0" fontId="13" fillId="0" borderId="55" xfId="0" applyFont="1" applyBorder="1" applyAlignment="1">
      <alignment horizontal="left"/>
    </xf>
    <xf numFmtId="0" fontId="4" fillId="0" borderId="56" xfId="0" applyFont="1" applyBorder="1" applyAlignment="1">
      <alignment horizontal="left"/>
    </xf>
    <xf numFmtId="0" fontId="4" fillId="0" borderId="54" xfId="0" applyFont="1" applyBorder="1" applyAlignment="1">
      <alignment horizontal="left"/>
    </xf>
    <xf numFmtId="0" fontId="4" fillId="0" borderId="57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8" fillId="0" borderId="10" xfId="0" applyFont="1" applyBorder="1" applyAlignment="1">
      <alignment horizontal="left"/>
    </xf>
    <xf numFmtId="0" fontId="8" fillId="0" borderId="11" xfId="0" applyFont="1" applyBorder="1" applyAlignment="1">
      <alignment horizontal="left"/>
    </xf>
    <xf numFmtId="0" fontId="6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66" fontId="6" fillId="0" borderId="9" xfId="0" applyNumberFormat="1" applyFont="1" applyBorder="1" applyAlignment="1">
      <alignment horizontal="center"/>
    </xf>
    <xf numFmtId="0" fontId="8" fillId="0" borderId="47" xfId="0" applyFont="1" applyBorder="1"/>
    <xf numFmtId="2" fontId="6" fillId="0" borderId="10" xfId="0" applyNumberFormat="1" applyFont="1" applyBorder="1" applyAlignment="1">
      <alignment horizontal="center"/>
    </xf>
    <xf numFmtId="2" fontId="8" fillId="0" borderId="11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 vertical="center"/>
    </xf>
    <xf numFmtId="0" fontId="8" fillId="0" borderId="49" xfId="0" applyFont="1" applyBorder="1"/>
    <xf numFmtId="0" fontId="4" fillId="0" borderId="2" xfId="0" applyFont="1" applyBorder="1" applyAlignment="1">
      <alignment horizontal="center" vertical="center"/>
    </xf>
    <xf numFmtId="0" fontId="8" fillId="0" borderId="3" xfId="0" applyFont="1" applyBorder="1"/>
    <xf numFmtId="0" fontId="8" fillId="0" borderId="4" xfId="0" applyFont="1" applyBorder="1"/>
    <xf numFmtId="0" fontId="8" fillId="0" borderId="15" xfId="0" applyFont="1" applyBorder="1"/>
    <xf numFmtId="0" fontId="0" fillId="0" borderId="16" xfId="0" applyFont="1" applyBorder="1" applyAlignment="1"/>
    <xf numFmtId="0" fontId="8" fillId="0" borderId="17" xfId="0" applyFont="1" applyBorder="1"/>
    <xf numFmtId="0" fontId="4" fillId="0" borderId="12" xfId="0" applyFont="1" applyBorder="1" applyAlignment="1">
      <alignment horizontal="center" vertical="center"/>
    </xf>
    <xf numFmtId="0" fontId="8" fillId="0" borderId="13" xfId="0" applyFont="1" applyBorder="1"/>
    <xf numFmtId="0" fontId="4" fillId="0" borderId="2" xfId="0" applyFont="1" applyBorder="1" applyAlignment="1">
      <alignment horizontal="center"/>
    </xf>
    <xf numFmtId="0" fontId="6" fillId="0" borderId="32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6" fillId="0" borderId="44" xfId="0" applyFont="1" applyBorder="1" applyAlignment="1">
      <alignment horizontal="left" wrapText="1"/>
    </xf>
    <xf numFmtId="0" fontId="6" fillId="0" borderId="35" xfId="0" applyFont="1" applyBorder="1" applyAlignment="1">
      <alignment horizontal="left" wrapText="1"/>
    </xf>
    <xf numFmtId="0" fontId="6" fillId="0" borderId="16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14" fillId="0" borderId="35" xfId="0" applyFont="1" applyBorder="1" applyAlignment="1">
      <alignment horizontal="left" vertical="top" wrapText="1"/>
    </xf>
    <xf numFmtId="0" fontId="14" fillId="0" borderId="16" xfId="0" applyFont="1" applyBorder="1" applyAlignment="1">
      <alignment horizontal="left" vertical="top" wrapText="1"/>
    </xf>
    <xf numFmtId="0" fontId="14" fillId="0" borderId="17" xfId="0" applyFont="1" applyBorder="1" applyAlignment="1">
      <alignment horizontal="left" vertical="top" wrapText="1"/>
    </xf>
    <xf numFmtId="0" fontId="14" fillId="0" borderId="41" xfId="0" applyFont="1" applyBorder="1" applyAlignment="1">
      <alignment horizontal="left" vertical="top" wrapText="1"/>
    </xf>
    <xf numFmtId="0" fontId="14" fillId="0" borderId="42" xfId="0" applyFont="1" applyBorder="1" applyAlignment="1">
      <alignment horizontal="left" vertical="top" wrapText="1"/>
    </xf>
    <xf numFmtId="0" fontId="14" fillId="0" borderId="43" xfId="0" applyFont="1" applyBorder="1" applyAlignment="1">
      <alignment horizontal="left" vertical="top" wrapText="1"/>
    </xf>
    <xf numFmtId="0" fontId="6" fillId="0" borderId="35" xfId="0" applyFont="1" applyBorder="1" applyAlignment="1">
      <alignment horizontal="center"/>
    </xf>
    <xf numFmtId="166" fontId="12" fillId="0" borderId="16" xfId="0" applyNumberFormat="1" applyFont="1" applyBorder="1" applyAlignment="1">
      <alignment horizontal="center" vertical="center"/>
    </xf>
    <xf numFmtId="0" fontId="8" fillId="0" borderId="36" xfId="0" applyFont="1" applyBorder="1"/>
    <xf numFmtId="0" fontId="8" fillId="0" borderId="16" xfId="0" applyFont="1" applyBorder="1"/>
    <xf numFmtId="0" fontId="4" fillId="0" borderId="35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36" xfId="0" applyFont="1" applyBorder="1" applyAlignment="1">
      <alignment horizontal="left"/>
    </xf>
    <xf numFmtId="0" fontId="8" fillId="0" borderId="40" xfId="0" applyFont="1" applyBorder="1"/>
    <xf numFmtId="0" fontId="4" fillId="0" borderId="18" xfId="0" applyFont="1" applyBorder="1" applyAlignment="1">
      <alignment horizontal="center"/>
    </xf>
    <xf numFmtId="0" fontId="8" fillId="0" borderId="20" xfId="0" applyFont="1" applyBorder="1"/>
    <xf numFmtId="0" fontId="8" fillId="0" borderId="38" xfId="0" applyFont="1" applyBorder="1"/>
    <xf numFmtId="0" fontId="11" fillId="0" borderId="15" xfId="0" applyFont="1" applyBorder="1" applyAlignment="1">
      <alignment horizontal="center" vertical="center"/>
    </xf>
    <xf numFmtId="0" fontId="8" fillId="0" borderId="18" xfId="0" applyFont="1" applyBorder="1"/>
    <xf numFmtId="0" fontId="8" fillId="0" borderId="19" xfId="0" applyFont="1" applyBorder="1"/>
    <xf numFmtId="0" fontId="4" fillId="0" borderId="35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8" fillId="0" borderId="33" xfId="0" applyFont="1" applyBorder="1"/>
    <xf numFmtId="0" fontId="8" fillId="0" borderId="34" xfId="0" applyFont="1" applyBorder="1"/>
    <xf numFmtId="0" fontId="4" fillId="0" borderId="33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6" fillId="0" borderId="35" xfId="0" applyFont="1" applyBorder="1" applyAlignment="1">
      <alignment horizontal="left" vertical="top" wrapText="1"/>
    </xf>
    <xf numFmtId="0" fontId="8" fillId="0" borderId="35" xfId="0" applyFont="1" applyBorder="1"/>
    <xf numFmtId="0" fontId="8" fillId="0" borderId="37" xfId="0" applyFont="1" applyBorder="1"/>
    <xf numFmtId="0" fontId="10" fillId="0" borderId="39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5" xfId="0" applyFont="1" applyBorder="1" applyAlignment="1">
      <alignment horizontal="center"/>
    </xf>
    <xf numFmtId="0" fontId="4" fillId="0" borderId="15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 wrapText="1"/>
    </xf>
    <xf numFmtId="0" fontId="8" fillId="0" borderId="41" xfId="0" applyFont="1" applyBorder="1"/>
    <xf numFmtId="0" fontId="8" fillId="0" borderId="42" xfId="0" applyFont="1" applyBorder="1"/>
    <xf numFmtId="0" fontId="8" fillId="0" borderId="46" xfId="0" applyFont="1" applyBorder="1"/>
    <xf numFmtId="0" fontId="21" fillId="0" borderId="16" xfId="0" applyFont="1" applyBorder="1" applyAlignment="1">
      <alignment horizontal="center" vertical="center" wrapText="1"/>
    </xf>
    <xf numFmtId="0" fontId="22" fillId="0" borderId="16" xfId="0" applyFont="1" applyBorder="1" applyAlignment="1"/>
    <xf numFmtId="0" fontId="23" fillId="0" borderId="36" xfId="0" applyFont="1" applyBorder="1"/>
    <xf numFmtId="0" fontId="23" fillId="0" borderId="42" xfId="0" applyFont="1" applyBorder="1"/>
    <xf numFmtId="0" fontId="23" fillId="0" borderId="46" xfId="0" applyFont="1" applyBorder="1"/>
    <xf numFmtId="0" fontId="6" fillId="0" borderId="18" xfId="0" applyFont="1" applyBorder="1" applyAlignment="1">
      <alignment horizontal="center"/>
    </xf>
    <xf numFmtId="165" fontId="4" fillId="0" borderId="18" xfId="0" applyNumberFormat="1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20" fillId="0" borderId="16" xfId="0" applyFont="1" applyBorder="1"/>
    <xf numFmtId="0" fontId="20" fillId="0" borderId="17" xfId="0" applyFont="1" applyBorder="1"/>
    <xf numFmtId="0" fontId="7" fillId="0" borderId="16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/>
    </xf>
    <xf numFmtId="0" fontId="8" fillId="0" borderId="44" xfId="0" applyFont="1" applyBorder="1"/>
    <xf numFmtId="164" fontId="6" fillId="0" borderId="18" xfId="0" applyNumberFormat="1" applyFont="1" applyBorder="1" applyAlignment="1">
      <alignment horizontal="center"/>
    </xf>
    <xf numFmtId="168" fontId="6" fillId="0" borderId="18" xfId="0" applyNumberFormat="1" applyFont="1" applyBorder="1" applyAlignment="1">
      <alignment horizontal="center"/>
    </xf>
    <xf numFmtId="168" fontId="8" fillId="0" borderId="19" xfId="0" applyNumberFormat="1" applyFont="1" applyBorder="1"/>
    <xf numFmtId="168" fontId="8" fillId="0" borderId="38" xfId="0" applyNumberFormat="1" applyFont="1" applyBorder="1"/>
    <xf numFmtId="0" fontId="6" fillId="0" borderId="9" xfId="0" applyFont="1" applyBorder="1" applyAlignment="1">
      <alignment horizontal="center"/>
    </xf>
    <xf numFmtId="0" fontId="8" fillId="0" borderId="11" xfId="0" applyFont="1" applyBorder="1"/>
    <xf numFmtId="0" fontId="8" fillId="0" borderId="10" xfId="0" applyFont="1" applyBorder="1"/>
    <xf numFmtId="2" fontId="6" fillId="0" borderId="9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0" fontId="14" fillId="0" borderId="32" xfId="0" applyFont="1" applyBorder="1" applyAlignment="1">
      <alignment horizontal="center" vertical="center" wrapText="1"/>
    </xf>
    <xf numFmtId="0" fontId="14" fillId="0" borderId="44" xfId="0" applyFont="1" applyBorder="1" applyAlignment="1">
      <alignment horizontal="center" vertical="center" wrapText="1"/>
    </xf>
    <xf numFmtId="0" fontId="14" fillId="0" borderId="45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/>
    </xf>
    <xf numFmtId="0" fontId="20" fillId="0" borderId="17" xfId="0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20" fillId="0" borderId="36" xfId="0" applyFont="1" applyBorder="1" applyAlignment="1">
      <alignment horizont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left" vertical="top" wrapText="1"/>
    </xf>
    <xf numFmtId="0" fontId="4" fillId="0" borderId="16" xfId="0" applyFont="1" applyBorder="1" applyAlignment="1">
      <alignment horizontal="left" vertical="top" wrapText="1"/>
    </xf>
    <xf numFmtId="0" fontId="4" fillId="0" borderId="36" xfId="0" applyFont="1" applyBorder="1" applyAlignment="1">
      <alignment horizontal="left" vertical="top" wrapText="1"/>
    </xf>
    <xf numFmtId="0" fontId="4" fillId="0" borderId="41" xfId="0" applyFont="1" applyBorder="1" applyAlignment="1">
      <alignment horizontal="left" vertical="top" wrapText="1"/>
    </xf>
    <xf numFmtId="0" fontId="4" fillId="0" borderId="42" xfId="0" applyFont="1" applyBorder="1" applyAlignment="1">
      <alignment horizontal="left" vertical="top" wrapText="1"/>
    </xf>
    <xf numFmtId="0" fontId="4" fillId="0" borderId="46" xfId="0" applyFont="1" applyBorder="1" applyAlignment="1">
      <alignment horizontal="left" vertical="top" wrapText="1"/>
    </xf>
    <xf numFmtId="0" fontId="4" fillId="0" borderId="37" xfId="0" applyFont="1" applyBorder="1" applyAlignment="1">
      <alignment horizontal="left" vertical="top" wrapText="1"/>
    </xf>
    <xf numFmtId="0" fontId="4" fillId="0" borderId="19" xfId="0" applyFont="1" applyBorder="1" applyAlignment="1">
      <alignment horizontal="left" vertical="top" wrapText="1"/>
    </xf>
    <xf numFmtId="0" fontId="14" fillId="0" borderId="39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14" fillId="0" borderId="33" xfId="0" applyFont="1" applyBorder="1" applyAlignment="1">
      <alignment horizontal="center" vertical="center" wrapText="1"/>
    </xf>
    <xf numFmtId="0" fontId="14" fillId="0" borderId="34" xfId="0" applyFont="1" applyBorder="1" applyAlignment="1">
      <alignment horizontal="center" vertical="center" wrapText="1"/>
    </xf>
    <xf numFmtId="0" fontId="24" fillId="0" borderId="35" xfId="0" applyFont="1" applyBorder="1" applyAlignment="1">
      <alignment horizontal="center"/>
    </xf>
    <xf numFmtId="0" fontId="24" fillId="0" borderId="16" xfId="0" applyFont="1" applyBorder="1" applyAlignment="1">
      <alignment horizontal="center"/>
    </xf>
    <xf numFmtId="0" fontId="24" fillId="0" borderId="36" xfId="0" applyFont="1" applyBorder="1" applyAlignment="1">
      <alignment horizontal="center"/>
    </xf>
    <xf numFmtId="0" fontId="25" fillId="0" borderId="32" xfId="0" applyFont="1" applyBorder="1" applyAlignment="1">
      <alignment horizontal="center"/>
    </xf>
    <xf numFmtId="0" fontId="25" fillId="0" borderId="33" xfId="0" applyFont="1" applyBorder="1" applyAlignment="1">
      <alignment horizontal="center"/>
    </xf>
    <xf numFmtId="0" fontId="6" fillId="0" borderId="16" xfId="0" applyFont="1" applyBorder="1" applyAlignment="1">
      <alignment horizontal="left" vertical="top" wrapText="1"/>
    </xf>
    <xf numFmtId="0" fontId="6" fillId="0" borderId="17" xfId="0" applyFont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 wrapText="1"/>
    </xf>
    <xf numFmtId="0" fontId="6" fillId="0" borderId="19" xfId="0" applyFont="1" applyBorder="1" applyAlignment="1">
      <alignment horizontal="left"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/>
    </xf>
    <xf numFmtId="0" fontId="6" fillId="0" borderId="39" xfId="0" applyFont="1" applyBorder="1" applyAlignment="1">
      <alignment horizontal="left"/>
    </xf>
    <xf numFmtId="0" fontId="4" fillId="0" borderId="16" xfId="0" applyFont="1" applyBorder="1" applyAlignment="1">
      <alignment horizontal="center"/>
    </xf>
    <xf numFmtId="0" fontId="4" fillId="0" borderId="36" xfId="0" applyFont="1" applyBorder="1" applyAlignment="1">
      <alignment horizontal="center"/>
    </xf>
    <xf numFmtId="0" fontId="14" fillId="0" borderId="32" xfId="0" applyFont="1" applyBorder="1" applyAlignment="1">
      <alignment horizontal="center"/>
    </xf>
    <xf numFmtId="0" fontId="14" fillId="0" borderId="33" xfId="0" applyFont="1" applyBorder="1" applyAlignment="1">
      <alignment horizontal="center"/>
    </xf>
    <xf numFmtId="0" fontId="1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0" borderId="4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4" fillId="0" borderId="32" xfId="0" applyFont="1" applyBorder="1" applyAlignment="1">
      <alignment horizontal="left"/>
    </xf>
    <xf numFmtId="0" fontId="6" fillId="0" borderId="45" xfId="0" applyFont="1" applyBorder="1" applyAlignment="1">
      <alignment horizontal="center"/>
    </xf>
    <xf numFmtId="0" fontId="15" fillId="0" borderId="35" xfId="0" applyFont="1" applyBorder="1" applyAlignment="1">
      <alignment horizontal="left"/>
    </xf>
    <xf numFmtId="0" fontId="14" fillId="2" borderId="41" xfId="0" applyFont="1" applyFill="1" applyBorder="1" applyAlignment="1">
      <alignment horizontal="left" vertical="top"/>
    </xf>
    <xf numFmtId="0" fontId="8" fillId="0" borderId="43" xfId="0" applyFont="1" applyBorder="1"/>
    <xf numFmtId="0" fontId="6" fillId="0" borderId="51" xfId="0" applyFont="1" applyBorder="1" applyAlignment="1">
      <alignment horizontal="left"/>
    </xf>
    <xf numFmtId="0" fontId="6" fillId="0" borderId="16" xfId="0" applyFont="1" applyBorder="1" applyAlignment="1">
      <alignment horizontal="center" vertical="top"/>
    </xf>
    <xf numFmtId="0" fontId="4" fillId="0" borderId="39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 vertical="top" wrapText="1"/>
    </xf>
    <xf numFmtId="0" fontId="8" fillId="0" borderId="5" xfId="0" applyFont="1" applyBorder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8" fillId="0" borderId="6" xfId="0" applyFont="1" applyBorder="1"/>
    <xf numFmtId="0" fontId="6" fillId="0" borderId="7" xfId="0" applyFont="1" applyBorder="1" applyAlignment="1">
      <alignment horizontal="center" wrapText="1"/>
    </xf>
    <xf numFmtId="0" fontId="8" fillId="0" borderId="1" xfId="0" applyFont="1" applyBorder="1"/>
    <xf numFmtId="0" fontId="8" fillId="0" borderId="8" xfId="0" applyFont="1" applyBorder="1"/>
    <xf numFmtId="0" fontId="17" fillId="0" borderId="5" xfId="0" applyFont="1" applyBorder="1" applyAlignment="1">
      <alignment horizontal="center"/>
    </xf>
    <xf numFmtId="0" fontId="16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8" fillId="0" borderId="6" xfId="0" applyFont="1" applyBorder="1" applyAlignment="1">
      <alignment vertical="center"/>
    </xf>
    <xf numFmtId="0" fontId="6" fillId="0" borderId="0" xfId="0" applyFont="1" applyAlignment="1">
      <alignment horizontal="left" wrapText="1"/>
    </xf>
    <xf numFmtId="0" fontId="6" fillId="0" borderId="9" xfId="0" applyFont="1" applyBorder="1" applyAlignment="1">
      <alignment horizontal="left" vertical="top" wrapText="1"/>
    </xf>
    <xf numFmtId="0" fontId="6" fillId="0" borderId="10" xfId="0" applyFont="1" applyBorder="1" applyAlignment="1">
      <alignment horizontal="left" vertical="top"/>
    </xf>
    <xf numFmtId="0" fontId="6" fillId="0" borderId="11" xfId="0" applyFont="1" applyBorder="1" applyAlignment="1">
      <alignment horizontal="left" vertical="top"/>
    </xf>
    <xf numFmtId="1" fontId="4" fillId="0" borderId="24" xfId="0" applyNumberFormat="1" applyFont="1" applyBorder="1" applyAlignment="1">
      <alignment horizontal="center"/>
    </xf>
    <xf numFmtId="0" fontId="8" fillId="0" borderId="25" xfId="0" applyFont="1" applyBorder="1"/>
    <xf numFmtId="0" fontId="15" fillId="0" borderId="5" xfId="0" applyFont="1" applyBorder="1" applyAlignment="1">
      <alignment horizontal="left"/>
    </xf>
    <xf numFmtId="0" fontId="6" fillId="0" borderId="5" xfId="0" applyFont="1" applyBorder="1" applyAlignment="1">
      <alignment horizontal="center"/>
    </xf>
    <xf numFmtId="0" fontId="15" fillId="0" borderId="0" xfId="0" applyFont="1" applyAlignment="1">
      <alignment horizontal="center"/>
    </xf>
    <xf numFmtId="0" fontId="4" fillId="0" borderId="9" xfId="0" applyFont="1" applyBorder="1" applyAlignment="1">
      <alignment horizontal="left"/>
    </xf>
    <xf numFmtId="1" fontId="4" fillId="0" borderId="10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left" vertical="top" wrapText="1"/>
    </xf>
    <xf numFmtId="1" fontId="4" fillId="0" borderId="29" xfId="0" applyNumberFormat="1" applyFont="1" applyBorder="1" applyAlignment="1">
      <alignment horizontal="center"/>
    </xf>
    <xf numFmtId="0" fontId="8" fillId="0" borderId="30" xfId="0" applyFont="1" applyBorder="1"/>
    <xf numFmtId="0" fontId="4" fillId="0" borderId="9" xfId="0" applyFont="1" applyBorder="1" applyAlignment="1">
      <alignment horizontal="center" vertical="top"/>
    </xf>
    <xf numFmtId="0" fontId="8" fillId="0" borderId="11" xfId="0" applyFont="1" applyBorder="1" applyAlignment="1">
      <alignment vertical="top"/>
    </xf>
    <xf numFmtId="4" fontId="4" fillId="0" borderId="9" xfId="0" applyNumberFormat="1" applyFont="1" applyBorder="1" applyAlignment="1">
      <alignment horizontal="center" vertical="top"/>
    </xf>
    <xf numFmtId="1" fontId="4" fillId="0" borderId="9" xfId="0" applyNumberFormat="1" applyFont="1" applyBorder="1" applyAlignment="1">
      <alignment horizontal="center" vertical="top"/>
    </xf>
    <xf numFmtId="0" fontId="6" fillId="0" borderId="7" xfId="0" applyFont="1" applyBorder="1" applyAlignment="1">
      <alignment horizontal="left"/>
    </xf>
    <xf numFmtId="0" fontId="15" fillId="0" borderId="22" xfId="0" applyFont="1" applyBorder="1" applyAlignment="1">
      <alignment horizontal="center"/>
    </xf>
    <xf numFmtId="0" fontId="8" fillId="0" borderId="23" xfId="0" applyFont="1" applyBorder="1"/>
    <xf numFmtId="0" fontId="19" fillId="0" borderId="5" xfId="0" applyFont="1" applyBorder="1" applyAlignment="1">
      <alignment horizontal="left"/>
    </xf>
    <xf numFmtId="0" fontId="15" fillId="0" borderId="27" xfId="0" applyFont="1" applyBorder="1" applyAlignment="1">
      <alignment horizontal="center"/>
    </xf>
    <xf numFmtId="0" fontId="8" fillId="0" borderId="28" xfId="0" applyFont="1" applyBorder="1"/>
    <xf numFmtId="0" fontId="8" fillId="0" borderId="2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419100</xdr:colOff>
      <xdr:row>40</xdr:row>
      <xdr:rowOff>133350</xdr:rowOff>
    </xdr:from>
    <xdr:to>
      <xdr:col>9</xdr:col>
      <xdr:colOff>233293</xdr:colOff>
      <xdr:row>43</xdr:row>
      <xdr:rowOff>143258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75329FE9-E2D3-468F-BD3A-EACC71C4F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52800" y="7858125"/>
          <a:ext cx="2471668" cy="7052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295275</xdr:colOff>
      <xdr:row>34</xdr:row>
      <xdr:rowOff>1</xdr:rowOff>
    </xdr:from>
    <xdr:to>
      <xdr:col>9</xdr:col>
      <xdr:colOff>278942</xdr:colOff>
      <xdr:row>36</xdr:row>
      <xdr:rowOff>171451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60F988F7-BFF0-4A6F-BD07-B095EECE6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8639176"/>
          <a:ext cx="2002967" cy="571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39</xdr:row>
      <xdr:rowOff>9525</xdr:rowOff>
    </xdr:from>
    <xdr:to>
      <xdr:col>3</xdr:col>
      <xdr:colOff>383717</xdr:colOff>
      <xdr:row>41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7FF2BB4-E993-405A-9D15-4C7AF76AAA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8486775"/>
          <a:ext cx="2002967" cy="5715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38</xdr:row>
      <xdr:rowOff>9525</xdr:rowOff>
    </xdr:from>
    <xdr:to>
      <xdr:col>5</xdr:col>
      <xdr:colOff>278942</xdr:colOff>
      <xdr:row>41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ED4865D8-13A3-4F4B-B053-C0A3D7638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8515350"/>
          <a:ext cx="2002967" cy="5715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264053</xdr:colOff>
      <xdr:row>38</xdr:row>
      <xdr:rowOff>0</xdr:rowOff>
    </xdr:from>
    <xdr:to>
      <xdr:col>3</xdr:col>
      <xdr:colOff>333375</xdr:colOff>
      <xdr:row>40</xdr:row>
      <xdr:rowOff>187746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EC6EAC24-3677-495D-AA2E-A483BEB541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078" y="8515350"/>
          <a:ext cx="1907647" cy="5877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B2" sqref="B2"/>
    </sheetView>
  </sheetViews>
  <sheetFormatPr defaultColWidth="14.42578125" defaultRowHeight="15" customHeight="1" x14ac:dyDescent="0.25"/>
  <cols>
    <col min="1" max="1" width="12.85546875" customWidth="1"/>
    <col min="2" max="2" width="18" customWidth="1"/>
    <col min="3" max="4" width="16.28515625" customWidth="1"/>
    <col min="5" max="5" width="39.28515625" customWidth="1"/>
    <col min="6" max="26" width="8.71093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41" t="s">
        <v>101</v>
      </c>
      <c r="B2" s="79" t="s">
        <v>144</v>
      </c>
      <c r="C2" s="2" t="s">
        <v>5</v>
      </c>
      <c r="D2" s="2" t="s">
        <v>6</v>
      </c>
      <c r="E2" s="79" t="s">
        <v>142</v>
      </c>
    </row>
    <row r="3" spans="1:5" x14ac:dyDescent="0.25">
      <c r="B3" s="2" t="s">
        <v>7</v>
      </c>
      <c r="D3" s="2" t="s">
        <v>8</v>
      </c>
      <c r="E3" s="2" t="s">
        <v>9</v>
      </c>
    </row>
    <row r="4" spans="1:5" x14ac:dyDescent="0.25">
      <c r="B4" s="2" t="s">
        <v>10</v>
      </c>
      <c r="D4" s="2" t="s">
        <v>11</v>
      </c>
      <c r="E4" s="2" t="s">
        <v>12</v>
      </c>
    </row>
    <row r="5" spans="1:5" x14ac:dyDescent="0.25">
      <c r="E5" s="2" t="s">
        <v>13</v>
      </c>
    </row>
    <row r="6" spans="1:5" ht="15" customHeight="1" x14ac:dyDescent="0.25">
      <c r="E6" s="44" t="s">
        <v>102</v>
      </c>
    </row>
    <row r="7" spans="1:5" ht="15" customHeight="1" x14ac:dyDescent="0.25">
      <c r="E7" t="s">
        <v>143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workbookViewId="0">
      <selection activeCell="E6" sqref="E6"/>
    </sheetView>
  </sheetViews>
  <sheetFormatPr defaultColWidth="14.42578125" defaultRowHeight="15" customHeight="1" x14ac:dyDescent="0.25"/>
  <cols>
    <col min="1" max="1" width="20.28515625" customWidth="1"/>
    <col min="2" max="2" width="39.5703125" customWidth="1"/>
    <col min="3" max="14" width="9.140625" customWidth="1"/>
    <col min="15" max="26" width="8.7109375" customWidth="1"/>
  </cols>
  <sheetData>
    <row r="1" spans="1:26" x14ac:dyDescent="0.25">
      <c r="A1" s="1" t="s">
        <v>14</v>
      </c>
      <c r="B1" s="3" t="s">
        <v>101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1" t="s">
        <v>15</v>
      </c>
      <c r="B2" s="5" t="s">
        <v>153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1" t="s">
        <v>16</v>
      </c>
      <c r="B3" s="6" t="str">
        <f>"BK0" &amp; B2 &amp; "/" &amp; B1</f>
        <v>BK002/25-26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s="57" customFormat="1" x14ac:dyDescent="0.25">
      <c r="A4" s="1" t="s">
        <v>17</v>
      </c>
      <c r="B4" s="7">
        <v>45945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s="57" customFormat="1" x14ac:dyDescent="0.25">
      <c r="A5" s="1" t="s">
        <v>122</v>
      </c>
      <c r="B5" s="6" t="s">
        <v>172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5">
      <c r="A6" s="1" t="s">
        <v>18</v>
      </c>
      <c r="B6" s="7" t="str">
        <f>IF(B1="24-25","AD240424008317F",IF(B1="23-24","AD240322004861M",IF(B1="25-26","AD240725023182F",IF(B1="","select the financial year"))))</f>
        <v>AD240725023182F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s="42" customFormat="1" ht="149.25" customHeight="1" x14ac:dyDescent="0.25">
      <c r="A7" s="101" t="s">
        <v>42</v>
      </c>
      <c r="B7" s="100" t="s">
        <v>171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" customHeight="1" x14ac:dyDescent="0.25">
      <c r="A8" s="113" t="s">
        <v>19</v>
      </c>
      <c r="B8" s="115" t="s">
        <v>151</v>
      </c>
      <c r="C8" s="10"/>
      <c r="D8" s="10"/>
      <c r="E8" s="10"/>
      <c r="F8" s="10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0" customHeight="1" x14ac:dyDescent="0.25">
      <c r="A9" s="114"/>
      <c r="B9" s="116"/>
      <c r="C9" s="10"/>
      <c r="D9" s="10"/>
      <c r="E9" s="10"/>
      <c r="F9" s="10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5.25" customHeight="1" x14ac:dyDescent="0.25">
      <c r="A10" s="114"/>
      <c r="B10" s="116"/>
      <c r="C10" s="10"/>
      <c r="D10" s="10"/>
      <c r="E10" s="10"/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114"/>
      <c r="B11" s="116"/>
      <c r="C11" s="10"/>
      <c r="D11" s="10"/>
      <c r="E11" s="10"/>
      <c r="F11" s="10"/>
      <c r="G11" s="4"/>
      <c r="H11" s="4"/>
      <c r="I11" s="4"/>
      <c r="J11" s="4"/>
      <c r="K11" s="4"/>
      <c r="L11" s="4"/>
      <c r="M11" s="4"/>
      <c r="N11" s="11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5">
      <c r="A12" s="114"/>
      <c r="B12" s="116"/>
      <c r="C12" s="10"/>
      <c r="D12" s="10"/>
      <c r="E12" s="10"/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4.5" customHeight="1" x14ac:dyDescent="0.25">
      <c r="A13" s="114"/>
      <c r="B13" s="116"/>
      <c r="C13" s="10"/>
      <c r="D13" s="10"/>
      <c r="E13" s="10"/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4.5" customHeight="1" x14ac:dyDescent="0.25">
      <c r="A14" s="8" t="s">
        <v>20</v>
      </c>
      <c r="B14" s="9">
        <v>1</v>
      </c>
      <c r="C14" s="10"/>
      <c r="D14" s="10"/>
      <c r="E14" s="10"/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1" t="s">
        <v>21</v>
      </c>
      <c r="B15" s="3" t="s">
        <v>144</v>
      </c>
      <c r="C15" s="3"/>
      <c r="D15" s="3"/>
      <c r="E15" s="3"/>
      <c r="F15" s="3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1" t="s">
        <v>22</v>
      </c>
      <c r="B16" s="3" t="s">
        <v>5</v>
      </c>
      <c r="C16" s="3"/>
      <c r="D16" s="3"/>
      <c r="E16" s="3"/>
      <c r="F16" s="3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5">
      <c r="A17" s="1" t="s">
        <v>23</v>
      </c>
      <c r="B17" s="3" t="s">
        <v>6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5">
      <c r="A18" s="1" t="s">
        <v>24</v>
      </c>
      <c r="B18" s="3" t="s">
        <v>143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0" x14ac:dyDescent="0.25">
      <c r="A19" s="12" t="s">
        <v>25</v>
      </c>
      <c r="B19" s="3" t="s">
        <v>157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5">
      <c r="A20" s="12" t="s">
        <v>26</v>
      </c>
      <c r="B20" s="3" t="s">
        <v>157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x14ac:dyDescent="0.25">
      <c r="A21" s="12" t="s">
        <v>27</v>
      </c>
      <c r="B21" s="14" t="s">
        <v>158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5">
      <c r="A22" s="12" t="s">
        <v>28</v>
      </c>
      <c r="B22" s="14" t="s">
        <v>158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5">
      <c r="A23" s="13" t="s">
        <v>29</v>
      </c>
      <c r="B23" s="3" t="s">
        <v>159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5">
      <c r="A24" s="1" t="s">
        <v>114</v>
      </c>
      <c r="B24" s="14" t="s">
        <v>160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5">
      <c r="A25" s="1" t="s">
        <v>111</v>
      </c>
      <c r="B25" s="14">
        <v>276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s="57" customFormat="1" ht="15.75" customHeight="1" x14ac:dyDescent="0.25">
      <c r="A26" s="1" t="s">
        <v>113</v>
      </c>
      <c r="B26" s="14" t="s">
        <v>141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5">
      <c r="A27" s="1" t="s">
        <v>112</v>
      </c>
      <c r="B27" s="14">
        <v>155.75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5">
      <c r="A28" s="4" t="s">
        <v>115</v>
      </c>
      <c r="B28" s="14">
        <v>16.2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5">
      <c r="A29" s="1" t="s">
        <v>116</v>
      </c>
      <c r="B29" s="14" t="s">
        <v>141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5">
      <c r="A30" s="1" t="s">
        <v>117</v>
      </c>
      <c r="B30" s="14">
        <v>168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5">
      <c r="A31" s="4" t="s">
        <v>118</v>
      </c>
      <c r="B31" s="14">
        <v>14.9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5">
      <c r="A32" s="1" t="s">
        <v>119</v>
      </c>
      <c r="B32" s="14" t="s">
        <v>141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5">
      <c r="A33" s="1" t="s">
        <v>120</v>
      </c>
      <c r="B33" s="14">
        <v>159.25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5">
      <c r="A34" s="4" t="s">
        <v>121</v>
      </c>
      <c r="B34" s="14">
        <v>23.2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5">
      <c r="A35" s="4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5">
      <c r="A36" s="4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5">
      <c r="A37" s="4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5">
      <c r="A38" s="4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5">
      <c r="A39" s="4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5">
      <c r="A40" s="4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5">
      <c r="A41" s="4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4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4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5">
      <c r="A44" s="4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5">
      <c r="A45" s="4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5">
      <c r="A46" s="4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5">
      <c r="A47" s="4"/>
      <c r="B47" s="3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5">
      <c r="A48" s="4"/>
      <c r="B48" s="3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5">
      <c r="A49" s="4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5">
      <c r="A50" s="4"/>
      <c r="B50" s="3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5">
      <c r="A51" s="4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5">
      <c r="A52" s="4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5">
      <c r="A53" s="4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5">
      <c r="A54" s="4"/>
      <c r="B54" s="3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5">
      <c r="A55" s="4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5">
      <c r="A56" s="4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4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5">
      <c r="A58" s="4"/>
      <c r="B58" s="3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5">
      <c r="A59" s="4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5">
      <c r="A60" s="4"/>
      <c r="B60" s="3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5">
      <c r="A61" s="4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5">
      <c r="A62" s="4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5">
      <c r="A63" s="4"/>
      <c r="B63" s="3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5">
      <c r="A64" s="4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5">
      <c r="A65" s="4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5">
      <c r="A66" s="4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5">
      <c r="A67" s="4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5">
      <c r="A68" s="4"/>
      <c r="B68" s="3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5">
      <c r="A69" s="4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5">
      <c r="A70" s="4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5">
      <c r="A71" s="4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5">
      <c r="A72" s="4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5">
      <c r="A73" s="4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5">
      <c r="A74" s="4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5">
      <c r="A75" s="4"/>
      <c r="B75" s="3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5">
      <c r="A76" s="4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5">
      <c r="A77" s="4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5">
      <c r="A78" s="4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5">
      <c r="A79" s="4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5">
      <c r="A80" s="4"/>
      <c r="B80" s="3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5">
      <c r="A81" s="4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5">
      <c r="A82" s="4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5">
      <c r="A83" s="4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4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4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4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4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4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5">
      <c r="A89" s="4"/>
      <c r="B89" s="3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5">
      <c r="A90" s="4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5">
      <c r="A91" s="4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5">
      <c r="A92" s="4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4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4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4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4"/>
      <c r="B96" s="3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4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4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5">
      <c r="A99" s="4"/>
      <c r="B99" s="3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5">
      <c r="A100" s="4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4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4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4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4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4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4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4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4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4"/>
      <c r="B109" s="3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5">
      <c r="A110" s="4"/>
      <c r="B110" s="3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5">
      <c r="A111" s="4"/>
      <c r="B111" s="3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5">
      <c r="A112" s="4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5">
      <c r="A113" s="4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5">
      <c r="A114" s="4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5">
      <c r="A115" s="4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5">
      <c r="A116" s="4"/>
      <c r="B116" s="3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4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4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4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5">
      <c r="A120" s="4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5">
      <c r="A121" s="4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5">
      <c r="A122" s="4"/>
      <c r="B122" s="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5">
      <c r="A123" s="4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5">
      <c r="A124" s="4"/>
      <c r="B124" s="3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5">
      <c r="A125" s="4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5">
      <c r="A126" s="4"/>
      <c r="B126" s="3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5">
      <c r="A127" s="4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5">
      <c r="A128" s="4"/>
      <c r="B128" s="3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5">
      <c r="A129" s="4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5">
      <c r="A130" s="4"/>
      <c r="B130" s="3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5">
      <c r="A131" s="4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5">
      <c r="A132" s="4"/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5">
      <c r="A133" s="4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5">
      <c r="A134" s="4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5">
      <c r="A135" s="4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5">
      <c r="A136" s="4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5">
      <c r="A137" s="4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4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4"/>
      <c r="B139" s="3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4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5">
      <c r="A141" s="4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5">
      <c r="A142" s="4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5">
      <c r="A143" s="4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5">
      <c r="A144" s="4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5">
      <c r="A145" s="4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5">
      <c r="A146" s="4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5">
      <c r="A147" s="4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5">
      <c r="A148" s="4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5">
      <c r="A149" s="4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5">
      <c r="A150" s="4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5">
      <c r="A151" s="4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5">
      <c r="A152" s="4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5">
      <c r="A153" s="4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5">
      <c r="A154" s="4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5">
      <c r="A155" s="4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5">
      <c r="A156" s="4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5">
      <c r="A157" s="4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5">
      <c r="A158" s="4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5">
      <c r="A159" s="4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5">
      <c r="A160" s="4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5">
      <c r="A161" s="4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5">
      <c r="A162" s="4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5">
      <c r="A163" s="4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5">
      <c r="A164" s="4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5">
      <c r="A165" s="4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5">
      <c r="A166" s="4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5">
      <c r="A167" s="4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5">
      <c r="A168" s="4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5">
      <c r="A169" s="4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5">
      <c r="A170" s="4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5">
      <c r="A171" s="4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5">
      <c r="A172" s="4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5">
      <c r="A173" s="4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5">
      <c r="A174" s="4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5">
      <c r="A175" s="4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5">
      <c r="A176" s="4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5">
      <c r="A177" s="4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5">
      <c r="A178" s="4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5">
      <c r="A179" s="4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5">
      <c r="A180" s="4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5">
      <c r="A181" s="4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5">
      <c r="A182" s="4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5">
      <c r="A183" s="4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5">
      <c r="A184" s="4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5">
      <c r="A185" s="4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5">
      <c r="A186" s="4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5">
      <c r="A187" s="4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5">
      <c r="A188" s="4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5">
      <c r="A189" s="4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5">
      <c r="A190" s="4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5">
      <c r="A191" s="4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5">
      <c r="A192" s="4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5">
      <c r="A193" s="4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5">
      <c r="A194" s="4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5">
      <c r="A195" s="4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5">
      <c r="A196" s="4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5">
      <c r="A197" s="4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5">
      <c r="A198" s="4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5">
      <c r="A199" s="4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5">
      <c r="A200" s="4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5">
      <c r="A201" s="4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5">
      <c r="A202" s="4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5">
      <c r="A203" s="4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5">
      <c r="A204" s="4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5">
      <c r="A205" s="4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5">
      <c r="A206" s="4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5">
      <c r="A207" s="4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5">
      <c r="A208" s="4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5">
      <c r="A209" s="4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5">
      <c r="A210" s="4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5">
      <c r="A211" s="4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5">
      <c r="A212" s="4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5">
      <c r="A213" s="4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5">
      <c r="A214" s="4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5">
      <c r="A215" s="4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5">
      <c r="A216" s="4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5">
      <c r="A217" s="4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5">
      <c r="A218" s="4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5">
      <c r="A219" s="4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5">
      <c r="A220" s="4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5">
      <c r="A221" s="4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5">
      <c r="A222" s="4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5">
      <c r="A223" s="4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5">
      <c r="A224" s="4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5">
      <c r="A225" s="4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5">
      <c r="A226" s="4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5">
      <c r="A227" s="4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5">
      <c r="A228" s="4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5">
      <c r="A229" s="4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5">
      <c r="A230" s="4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5">
      <c r="A231" s="4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5">
      <c r="A232" s="4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5">
      <c r="A233" s="4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5">
      <c r="A234" s="4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5">
      <c r="A235" s="4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5">
      <c r="A236" s="4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5">
      <c r="A237" s="4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5">
      <c r="A238" s="4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5">
      <c r="A239" s="4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5">
      <c r="A240" s="4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5">
      <c r="A241" s="4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5">
      <c r="A242" s="4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5">
      <c r="A243" s="4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5">
      <c r="A244" s="4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5">
      <c r="A245" s="4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5">
      <c r="A246" s="4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5">
      <c r="A247" s="4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5">
      <c r="A248" s="4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5">
      <c r="A249" s="4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5">
      <c r="A250" s="4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5">
      <c r="A251" s="4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5">
      <c r="A252" s="4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5">
      <c r="A253" s="4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5">
      <c r="A254" s="4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5">
      <c r="A255" s="4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5">
      <c r="A256" s="4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5">
      <c r="A257" s="4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5">
      <c r="A258" s="4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5">
      <c r="A259" s="4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5">
      <c r="A260" s="4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5">
      <c r="A261" s="4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5">
      <c r="A262" s="4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5">
      <c r="A263" s="4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5">
      <c r="A264" s="4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5">
      <c r="A265" s="4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5">
      <c r="A266" s="4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5">
      <c r="A267" s="4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5">
      <c r="A268" s="4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5">
      <c r="A269" s="4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5">
      <c r="A270" s="4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5">
      <c r="A271" s="4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5">
      <c r="A272" s="4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5">
      <c r="A273" s="4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5">
      <c r="A274" s="4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5">
      <c r="A275" s="4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5">
      <c r="A276" s="4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5">
      <c r="A277" s="4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5">
      <c r="A278" s="4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5">
      <c r="A279" s="4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5">
      <c r="A280" s="4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5">
      <c r="A281" s="4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5">
      <c r="A282" s="4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5">
      <c r="A283" s="4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5">
      <c r="A284" s="4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5">
      <c r="A285" s="4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5">
      <c r="A286" s="4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5">
      <c r="A287" s="4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5">
      <c r="A288" s="4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5">
      <c r="A289" s="4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5">
      <c r="A290" s="4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5">
      <c r="A291" s="4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5">
      <c r="A292" s="4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5">
      <c r="A293" s="4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5">
      <c r="A294" s="4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5">
      <c r="A295" s="4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5">
      <c r="A296" s="4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5">
      <c r="A297" s="4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5">
      <c r="A298" s="4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5">
      <c r="A299" s="4"/>
      <c r="B299" s="3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5">
      <c r="A300" s="4"/>
      <c r="B300" s="3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5">
      <c r="A301" s="4"/>
      <c r="B301" s="3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5">
      <c r="A302" s="4"/>
      <c r="B302" s="3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5">
      <c r="A303" s="4"/>
      <c r="B303" s="3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5">
      <c r="A304" s="4"/>
      <c r="B304" s="3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5">
      <c r="A305" s="4"/>
      <c r="B305" s="3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5">
      <c r="A306" s="4"/>
      <c r="B306" s="3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5">
      <c r="A307" s="4"/>
      <c r="B307" s="3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5">
      <c r="A308" s="4"/>
      <c r="B308" s="3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5">
      <c r="A309" s="4"/>
      <c r="B309" s="3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5">
      <c r="A310" s="4"/>
      <c r="B310" s="3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5">
      <c r="A311" s="4"/>
      <c r="B311" s="3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5">
      <c r="A312" s="4"/>
      <c r="B312" s="3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5">
      <c r="A313" s="4"/>
      <c r="B313" s="3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5">
      <c r="A314" s="4"/>
      <c r="B314" s="3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5">
      <c r="A315" s="4"/>
      <c r="B315" s="3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5">
      <c r="A316" s="4"/>
      <c r="B316" s="3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5">
      <c r="A317" s="4"/>
      <c r="B317" s="3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5">
      <c r="A318" s="4"/>
      <c r="B318" s="3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5">
      <c r="A319" s="4"/>
      <c r="B319" s="3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5">
      <c r="A320" s="4"/>
      <c r="B320" s="3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5">
      <c r="A321" s="4"/>
      <c r="B321" s="3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5">
      <c r="A322" s="4"/>
      <c r="B322" s="3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5">
      <c r="A323" s="4"/>
      <c r="B323" s="3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5">
      <c r="A324" s="4"/>
      <c r="B324" s="3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5">
      <c r="A325" s="4"/>
      <c r="B325" s="3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5">
      <c r="A326" s="4"/>
      <c r="B326" s="3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5">
      <c r="A327" s="4"/>
      <c r="B327" s="3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5">
      <c r="A328" s="4"/>
      <c r="B328" s="3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5">
      <c r="A329" s="4"/>
      <c r="B329" s="3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5">
      <c r="A330" s="4"/>
      <c r="B330" s="3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5">
      <c r="A331" s="4"/>
      <c r="B331" s="3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5">
      <c r="A332" s="4"/>
      <c r="B332" s="3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5">
      <c r="A333" s="4"/>
      <c r="B333" s="3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5">
      <c r="A334" s="4"/>
      <c r="B334" s="3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5">
      <c r="A335" s="4"/>
      <c r="B335" s="3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5">
      <c r="A336" s="4"/>
      <c r="B336" s="3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5">
      <c r="A337" s="4"/>
      <c r="B337" s="3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5">
      <c r="A338" s="4"/>
      <c r="B338" s="3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5">
      <c r="A339" s="4"/>
      <c r="B339" s="3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5">
      <c r="A340" s="4"/>
      <c r="B340" s="3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5">
      <c r="A341" s="4"/>
      <c r="B341" s="3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5">
      <c r="A342" s="4"/>
      <c r="B342" s="3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5">
      <c r="A343" s="4"/>
      <c r="B343" s="3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5">
      <c r="A344" s="4"/>
      <c r="B344" s="3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5">
      <c r="A345" s="4"/>
      <c r="B345" s="3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5">
      <c r="A346" s="4"/>
      <c r="B346" s="3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5">
      <c r="A347" s="4"/>
      <c r="B347" s="3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5">
      <c r="A348" s="4"/>
      <c r="B348" s="3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5">
      <c r="A349" s="4"/>
      <c r="B349" s="3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5">
      <c r="A350" s="4"/>
      <c r="B350" s="3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5">
      <c r="A351" s="4"/>
      <c r="B351" s="3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5">
      <c r="A352" s="4"/>
      <c r="B352" s="3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5">
      <c r="A353" s="4"/>
      <c r="B353" s="3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5">
      <c r="A354" s="4"/>
      <c r="B354" s="3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5">
      <c r="A355" s="4"/>
      <c r="B355" s="3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5">
      <c r="A356" s="4"/>
      <c r="B356" s="3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5">
      <c r="A357" s="4"/>
      <c r="B357" s="3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5">
      <c r="A358" s="4"/>
      <c r="B358" s="3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5">
      <c r="A359" s="4"/>
      <c r="B359" s="3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5">
      <c r="A360" s="4"/>
      <c r="B360" s="3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5">
      <c r="A361" s="4"/>
      <c r="B361" s="3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5">
      <c r="A362" s="4"/>
      <c r="B362" s="3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5">
      <c r="A363" s="4"/>
      <c r="B363" s="3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5">
      <c r="A364" s="4"/>
      <c r="B364" s="3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5">
      <c r="A365" s="4"/>
      <c r="B365" s="3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5">
      <c r="A366" s="4"/>
      <c r="B366" s="3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5">
      <c r="A367" s="4"/>
      <c r="B367" s="3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5">
      <c r="A368" s="4"/>
      <c r="B368" s="3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5">
      <c r="A369" s="4"/>
      <c r="B369" s="3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5">
      <c r="A370" s="4"/>
      <c r="B370" s="3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5">
      <c r="A371" s="4"/>
      <c r="B371" s="3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5">
      <c r="A372" s="4"/>
      <c r="B372" s="3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5">
      <c r="A373" s="4"/>
      <c r="B373" s="3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5">
      <c r="A374" s="4"/>
      <c r="B374" s="3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5">
      <c r="A375" s="4"/>
      <c r="B375" s="3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5">
      <c r="A376" s="4"/>
      <c r="B376" s="3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5">
      <c r="A377" s="4"/>
      <c r="B377" s="3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5">
      <c r="A378" s="4"/>
      <c r="B378" s="3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5">
      <c r="A379" s="4"/>
      <c r="B379" s="3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5">
      <c r="A380" s="4"/>
      <c r="B380" s="3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5">
      <c r="A381" s="4"/>
      <c r="B381" s="3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5">
      <c r="A382" s="4"/>
      <c r="B382" s="3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5">
      <c r="A383" s="4"/>
      <c r="B383" s="3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5">
      <c r="A384" s="4"/>
      <c r="B384" s="3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5">
      <c r="A385" s="4"/>
      <c r="B385" s="3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5">
      <c r="A386" s="4"/>
      <c r="B386" s="3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5">
      <c r="A387" s="4"/>
      <c r="B387" s="3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5">
      <c r="A388" s="4"/>
      <c r="B388" s="3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5">
      <c r="A389" s="4"/>
      <c r="B389" s="3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5">
      <c r="A390" s="4"/>
      <c r="B390" s="3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5">
      <c r="A391" s="4"/>
      <c r="B391" s="3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5">
      <c r="A392" s="4"/>
      <c r="B392" s="3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5">
      <c r="A393" s="4"/>
      <c r="B393" s="3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5">
      <c r="A394" s="4"/>
      <c r="B394" s="3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5">
      <c r="A395" s="4"/>
      <c r="B395" s="3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5">
      <c r="A396" s="4"/>
      <c r="B396" s="3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5">
      <c r="A397" s="4"/>
      <c r="B397" s="3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5">
      <c r="A398" s="4"/>
      <c r="B398" s="3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5">
      <c r="A399" s="4"/>
      <c r="B399" s="3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5">
      <c r="A400" s="4"/>
      <c r="B400" s="3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5">
      <c r="A401" s="4"/>
      <c r="B401" s="3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5">
      <c r="A402" s="4"/>
      <c r="B402" s="3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5">
      <c r="A403" s="4"/>
      <c r="B403" s="3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5">
      <c r="A404" s="4"/>
      <c r="B404" s="3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5">
      <c r="A405" s="4"/>
      <c r="B405" s="3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5">
      <c r="A406" s="4"/>
      <c r="B406" s="3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5">
      <c r="A407" s="4"/>
      <c r="B407" s="3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5">
      <c r="A408" s="4"/>
      <c r="B408" s="3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5">
      <c r="A409" s="4"/>
      <c r="B409" s="3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5">
      <c r="A410" s="4"/>
      <c r="B410" s="3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5">
      <c r="A411" s="4"/>
      <c r="B411" s="3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5">
      <c r="A412" s="4"/>
      <c r="B412" s="3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5">
      <c r="A413" s="4"/>
      <c r="B413" s="3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5">
      <c r="A414" s="4"/>
      <c r="B414" s="3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5">
      <c r="A415" s="4"/>
      <c r="B415" s="3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5">
      <c r="A416" s="4"/>
      <c r="B416" s="3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5">
      <c r="A417" s="4"/>
      <c r="B417" s="3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5">
      <c r="A418" s="4"/>
      <c r="B418" s="3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5">
      <c r="A419" s="4"/>
      <c r="B419" s="3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5">
      <c r="A420" s="4"/>
      <c r="B420" s="3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5">
      <c r="A421" s="4"/>
      <c r="B421" s="3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5">
      <c r="A422" s="4"/>
      <c r="B422" s="3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5">
      <c r="A423" s="4"/>
      <c r="B423" s="3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5">
      <c r="A424" s="4"/>
      <c r="B424" s="3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5">
      <c r="A425" s="4"/>
      <c r="B425" s="3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5">
      <c r="A426" s="4"/>
      <c r="B426" s="3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5">
      <c r="A427" s="4"/>
      <c r="B427" s="3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5">
      <c r="A428" s="4"/>
      <c r="B428" s="3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5">
      <c r="A429" s="4"/>
      <c r="B429" s="3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5">
      <c r="A430" s="4"/>
      <c r="B430" s="3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5">
      <c r="A431" s="4"/>
      <c r="B431" s="3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5">
      <c r="A432" s="4"/>
      <c r="B432" s="3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5">
      <c r="A433" s="4"/>
      <c r="B433" s="3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5">
      <c r="A434" s="4"/>
      <c r="B434" s="3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5">
      <c r="A435" s="4"/>
      <c r="B435" s="3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5">
      <c r="A436" s="4"/>
      <c r="B436" s="3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5">
      <c r="A437" s="4"/>
      <c r="B437" s="3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5">
      <c r="A438" s="4"/>
      <c r="B438" s="3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5">
      <c r="A439" s="4"/>
      <c r="B439" s="3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5">
      <c r="A440" s="4"/>
      <c r="B440" s="3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5">
      <c r="A441" s="4"/>
      <c r="B441" s="3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5">
      <c r="A442" s="4"/>
      <c r="B442" s="3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5">
      <c r="A443" s="4"/>
      <c r="B443" s="3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5">
      <c r="A444" s="4"/>
      <c r="B444" s="3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5">
      <c r="A445" s="4"/>
      <c r="B445" s="3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5">
      <c r="A446" s="4"/>
      <c r="B446" s="3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5">
      <c r="A447" s="4"/>
      <c r="B447" s="3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5">
      <c r="A448" s="4"/>
      <c r="B448" s="3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5">
      <c r="A449" s="4"/>
      <c r="B449" s="3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5">
      <c r="A450" s="4"/>
      <c r="B450" s="3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5">
      <c r="A451" s="4"/>
      <c r="B451" s="3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5">
      <c r="A452" s="4"/>
      <c r="B452" s="3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5">
      <c r="A453" s="4"/>
      <c r="B453" s="3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5">
      <c r="A454" s="4"/>
      <c r="B454" s="3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5">
      <c r="A455" s="4"/>
      <c r="B455" s="3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5">
      <c r="A456" s="4"/>
      <c r="B456" s="3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5">
      <c r="A457" s="4"/>
      <c r="B457" s="3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5">
      <c r="A458" s="4"/>
      <c r="B458" s="3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5">
      <c r="A459" s="4"/>
      <c r="B459" s="3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5">
      <c r="A460" s="4"/>
      <c r="B460" s="3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5">
      <c r="A461" s="4"/>
      <c r="B461" s="3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5">
      <c r="A462" s="4"/>
      <c r="B462" s="3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5">
      <c r="A463" s="4"/>
      <c r="B463" s="3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5">
      <c r="A464" s="4"/>
      <c r="B464" s="3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5">
      <c r="A465" s="4"/>
      <c r="B465" s="3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5">
      <c r="A466" s="4"/>
      <c r="B466" s="3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5">
      <c r="A467" s="4"/>
      <c r="B467" s="3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5">
      <c r="A468" s="4"/>
      <c r="B468" s="3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5">
      <c r="A469" s="4"/>
      <c r="B469" s="3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5">
      <c r="A470" s="4"/>
      <c r="B470" s="3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5">
      <c r="A471" s="4"/>
      <c r="B471" s="3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5">
      <c r="A472" s="4"/>
      <c r="B472" s="3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5">
      <c r="A473" s="4"/>
      <c r="B473" s="3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5">
      <c r="A474" s="4"/>
      <c r="B474" s="3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5">
      <c r="A475" s="4"/>
      <c r="B475" s="3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5">
      <c r="A476" s="4"/>
      <c r="B476" s="3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5">
      <c r="A477" s="4"/>
      <c r="B477" s="3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5">
      <c r="A478" s="4"/>
      <c r="B478" s="3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5">
      <c r="A479" s="4"/>
      <c r="B479" s="3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5">
      <c r="A480" s="4"/>
      <c r="B480" s="3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5">
      <c r="A481" s="4"/>
      <c r="B481" s="3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5">
      <c r="A482" s="4"/>
      <c r="B482" s="3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5">
      <c r="A483" s="4"/>
      <c r="B483" s="3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5">
      <c r="A484" s="4"/>
      <c r="B484" s="3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5">
      <c r="A485" s="4"/>
      <c r="B485" s="3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5">
      <c r="A486" s="4"/>
      <c r="B486" s="3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5">
      <c r="A487" s="4"/>
      <c r="B487" s="3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5">
      <c r="A488" s="4"/>
      <c r="B488" s="3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5">
      <c r="A489" s="4"/>
      <c r="B489" s="3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5">
      <c r="A490" s="4"/>
      <c r="B490" s="3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5">
      <c r="A491" s="4"/>
      <c r="B491" s="3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5">
      <c r="A492" s="4"/>
      <c r="B492" s="3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5">
      <c r="A493" s="4"/>
      <c r="B493" s="3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5">
      <c r="A494" s="4"/>
      <c r="B494" s="3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5">
      <c r="A495" s="4"/>
      <c r="B495" s="3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5">
      <c r="A496" s="4"/>
      <c r="B496" s="3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5">
      <c r="A497" s="4"/>
      <c r="B497" s="3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5">
      <c r="A498" s="4"/>
      <c r="B498" s="3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5">
      <c r="A499" s="4"/>
      <c r="B499" s="3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5">
      <c r="A500" s="4"/>
      <c r="B500" s="3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5">
      <c r="A501" s="4"/>
      <c r="B501" s="3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5">
      <c r="A502" s="4"/>
      <c r="B502" s="3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5">
      <c r="A503" s="4"/>
      <c r="B503" s="3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5">
      <c r="A504" s="4"/>
      <c r="B504" s="3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5">
      <c r="A505" s="4"/>
      <c r="B505" s="3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5">
      <c r="A506" s="4"/>
      <c r="B506" s="3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5">
      <c r="A507" s="4"/>
      <c r="B507" s="3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5">
      <c r="A508" s="4"/>
      <c r="B508" s="3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5">
      <c r="A509" s="4"/>
      <c r="B509" s="3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5">
      <c r="A510" s="4"/>
      <c r="B510" s="3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5">
      <c r="A511" s="4"/>
      <c r="B511" s="3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5">
      <c r="A512" s="4"/>
      <c r="B512" s="3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5">
      <c r="A513" s="4"/>
      <c r="B513" s="3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5">
      <c r="A514" s="4"/>
      <c r="B514" s="3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5">
      <c r="A515" s="4"/>
      <c r="B515" s="3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5">
      <c r="A516" s="4"/>
      <c r="B516" s="3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5">
      <c r="A517" s="4"/>
      <c r="B517" s="3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5">
      <c r="A518" s="4"/>
      <c r="B518" s="3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5">
      <c r="A519" s="4"/>
      <c r="B519" s="3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5">
      <c r="A520" s="4"/>
      <c r="B520" s="3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5">
      <c r="A521" s="4"/>
      <c r="B521" s="3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5">
      <c r="A522" s="4"/>
      <c r="B522" s="3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5">
      <c r="A523" s="4"/>
      <c r="B523" s="3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5">
      <c r="A524" s="4"/>
      <c r="B524" s="3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5">
      <c r="A525" s="4"/>
      <c r="B525" s="3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5">
      <c r="A526" s="4"/>
      <c r="B526" s="3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5">
      <c r="A527" s="4"/>
      <c r="B527" s="3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5">
      <c r="A528" s="4"/>
      <c r="B528" s="3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5">
      <c r="A529" s="4"/>
      <c r="B529" s="3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5">
      <c r="A530" s="4"/>
      <c r="B530" s="3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5">
      <c r="A531" s="4"/>
      <c r="B531" s="3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5">
      <c r="A532" s="4"/>
      <c r="B532" s="3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5">
      <c r="A533" s="4"/>
      <c r="B533" s="3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5">
      <c r="A534" s="4"/>
      <c r="B534" s="3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5">
      <c r="A535" s="4"/>
      <c r="B535" s="3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5">
      <c r="A536" s="4"/>
      <c r="B536" s="3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5">
      <c r="A537" s="4"/>
      <c r="B537" s="3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5">
      <c r="A538" s="4"/>
      <c r="B538" s="3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5">
      <c r="A539" s="4"/>
      <c r="B539" s="3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5">
      <c r="A540" s="4"/>
      <c r="B540" s="3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5">
      <c r="A541" s="4"/>
      <c r="B541" s="3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5">
      <c r="A542" s="4"/>
      <c r="B542" s="3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5">
      <c r="A543" s="4"/>
      <c r="B543" s="3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5">
      <c r="A544" s="4"/>
      <c r="B544" s="3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5">
      <c r="A545" s="4"/>
      <c r="B545" s="3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5">
      <c r="A546" s="4"/>
      <c r="B546" s="3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5">
      <c r="A547" s="4"/>
      <c r="B547" s="3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5">
      <c r="A548" s="4"/>
      <c r="B548" s="3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5">
      <c r="A549" s="4"/>
      <c r="B549" s="3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5">
      <c r="A550" s="4"/>
      <c r="B550" s="3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5">
      <c r="A551" s="4"/>
      <c r="B551" s="3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5">
      <c r="A552" s="4"/>
      <c r="B552" s="3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5">
      <c r="A553" s="4"/>
      <c r="B553" s="3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5">
      <c r="A554" s="4"/>
      <c r="B554" s="3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5">
      <c r="A555" s="4"/>
      <c r="B555" s="3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5">
      <c r="A556" s="4"/>
      <c r="B556" s="3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5">
      <c r="A557" s="4"/>
      <c r="B557" s="3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5">
      <c r="A558" s="4"/>
      <c r="B558" s="3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5">
      <c r="A559" s="4"/>
      <c r="B559" s="3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5">
      <c r="A560" s="4"/>
      <c r="B560" s="3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5">
      <c r="A561" s="4"/>
      <c r="B561" s="3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5">
      <c r="A562" s="4"/>
      <c r="B562" s="3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5">
      <c r="A563" s="4"/>
      <c r="B563" s="3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5">
      <c r="A564" s="4"/>
      <c r="B564" s="3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5">
      <c r="A565" s="4"/>
      <c r="B565" s="3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5">
      <c r="A566" s="4"/>
      <c r="B566" s="3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5">
      <c r="A567" s="4"/>
      <c r="B567" s="3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5">
      <c r="A568" s="4"/>
      <c r="B568" s="3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5">
      <c r="A569" s="4"/>
      <c r="B569" s="3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5">
      <c r="A570" s="4"/>
      <c r="B570" s="3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5">
      <c r="A571" s="4"/>
      <c r="B571" s="3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5">
      <c r="A572" s="4"/>
      <c r="B572" s="3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5">
      <c r="A573" s="4"/>
      <c r="B573" s="3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5">
      <c r="A574" s="4"/>
      <c r="B574" s="3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5">
      <c r="A575" s="4"/>
      <c r="B575" s="3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5">
      <c r="A576" s="4"/>
      <c r="B576" s="3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5">
      <c r="A577" s="4"/>
      <c r="B577" s="3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5">
      <c r="A578" s="4"/>
      <c r="B578" s="3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5">
      <c r="A579" s="4"/>
      <c r="B579" s="3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5">
      <c r="A580" s="4"/>
      <c r="B580" s="3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5">
      <c r="A581" s="4"/>
      <c r="B581" s="3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5">
      <c r="A582" s="4"/>
      <c r="B582" s="3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5">
      <c r="A583" s="4"/>
      <c r="B583" s="3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5">
      <c r="A584" s="4"/>
      <c r="B584" s="3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5">
      <c r="A585" s="4"/>
      <c r="B585" s="3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5">
      <c r="A586" s="4"/>
      <c r="B586" s="3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5">
      <c r="A587" s="4"/>
      <c r="B587" s="3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5">
      <c r="A588" s="4"/>
      <c r="B588" s="3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5">
      <c r="A589" s="4"/>
      <c r="B589" s="3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5">
      <c r="A590" s="4"/>
      <c r="B590" s="3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5">
      <c r="A591" s="4"/>
      <c r="B591" s="3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5">
      <c r="A592" s="4"/>
      <c r="B592" s="3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5">
      <c r="A593" s="4"/>
      <c r="B593" s="3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5">
      <c r="A594" s="4"/>
      <c r="B594" s="3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5">
      <c r="A595" s="4"/>
      <c r="B595" s="3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5">
      <c r="A596" s="4"/>
      <c r="B596" s="3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5">
      <c r="A597" s="4"/>
      <c r="B597" s="3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5">
      <c r="A598" s="4"/>
      <c r="B598" s="3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5">
      <c r="A599" s="4"/>
      <c r="B599" s="3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5">
      <c r="A600" s="4"/>
      <c r="B600" s="3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5">
      <c r="A601" s="4"/>
      <c r="B601" s="3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5">
      <c r="A602" s="4"/>
      <c r="B602" s="3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5">
      <c r="A603" s="4"/>
      <c r="B603" s="3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5">
      <c r="A604" s="4"/>
      <c r="B604" s="3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5">
      <c r="A605" s="4"/>
      <c r="B605" s="3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5">
      <c r="A606" s="4"/>
      <c r="B606" s="3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5">
      <c r="A607" s="4"/>
      <c r="B607" s="3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5">
      <c r="A608" s="4"/>
      <c r="B608" s="3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5">
      <c r="A609" s="4"/>
      <c r="B609" s="3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5">
      <c r="A610" s="4"/>
      <c r="B610" s="3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5">
      <c r="A611" s="4"/>
      <c r="B611" s="3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5">
      <c r="A612" s="4"/>
      <c r="B612" s="3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5">
      <c r="A613" s="4"/>
      <c r="B613" s="3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5">
      <c r="A614" s="4"/>
      <c r="B614" s="3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5">
      <c r="A615" s="4"/>
      <c r="B615" s="3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5">
      <c r="A616" s="4"/>
      <c r="B616" s="3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5">
      <c r="A617" s="4"/>
      <c r="B617" s="3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5">
      <c r="A618" s="4"/>
      <c r="B618" s="3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5">
      <c r="A619" s="4"/>
      <c r="B619" s="3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5">
      <c r="A620" s="4"/>
      <c r="B620" s="3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5">
      <c r="A621" s="4"/>
      <c r="B621" s="3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5">
      <c r="A622" s="4"/>
      <c r="B622" s="3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5">
      <c r="A623" s="4"/>
      <c r="B623" s="3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5">
      <c r="A624" s="4"/>
      <c r="B624" s="3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5">
      <c r="A625" s="4"/>
      <c r="B625" s="3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5">
      <c r="A626" s="4"/>
      <c r="B626" s="3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5">
      <c r="A627" s="4"/>
      <c r="B627" s="3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5">
      <c r="A628" s="4"/>
      <c r="B628" s="3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5">
      <c r="A629" s="4"/>
      <c r="B629" s="3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5">
      <c r="A630" s="4"/>
      <c r="B630" s="3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5">
      <c r="A631" s="4"/>
      <c r="B631" s="3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5">
      <c r="A632" s="4"/>
      <c r="B632" s="3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5">
      <c r="A633" s="4"/>
      <c r="B633" s="3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5">
      <c r="A634" s="4"/>
      <c r="B634" s="3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5">
      <c r="A635" s="4"/>
      <c r="B635" s="3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5">
      <c r="A636" s="4"/>
      <c r="B636" s="3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5">
      <c r="A637" s="4"/>
      <c r="B637" s="3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5">
      <c r="A638" s="4"/>
      <c r="B638" s="3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5">
      <c r="A639" s="4"/>
      <c r="B639" s="3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5">
      <c r="A640" s="4"/>
      <c r="B640" s="3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5">
      <c r="A641" s="4"/>
      <c r="B641" s="3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5">
      <c r="A642" s="4"/>
      <c r="B642" s="3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5">
      <c r="A643" s="4"/>
      <c r="B643" s="3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5">
      <c r="A644" s="4"/>
      <c r="B644" s="3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5">
      <c r="A645" s="4"/>
      <c r="B645" s="3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5">
      <c r="A646" s="4"/>
      <c r="B646" s="3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5">
      <c r="A647" s="4"/>
      <c r="B647" s="3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5">
      <c r="A648" s="4"/>
      <c r="B648" s="3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5">
      <c r="A649" s="4"/>
      <c r="B649" s="3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5">
      <c r="A650" s="4"/>
      <c r="B650" s="3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5">
      <c r="A651" s="4"/>
      <c r="B651" s="3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5">
      <c r="A652" s="4"/>
      <c r="B652" s="3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5">
      <c r="A653" s="4"/>
      <c r="B653" s="3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5">
      <c r="A654" s="4"/>
      <c r="B654" s="3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5">
      <c r="A655" s="4"/>
      <c r="B655" s="3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5">
      <c r="A656" s="4"/>
      <c r="B656" s="3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5">
      <c r="A657" s="4"/>
      <c r="B657" s="3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5">
      <c r="A658" s="4"/>
      <c r="B658" s="3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5">
      <c r="A659" s="4"/>
      <c r="B659" s="3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5">
      <c r="A660" s="4"/>
      <c r="B660" s="3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5">
      <c r="A661" s="4"/>
      <c r="B661" s="3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5">
      <c r="A662" s="4"/>
      <c r="B662" s="3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5">
      <c r="A663" s="4"/>
      <c r="B663" s="3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5">
      <c r="A664" s="4"/>
      <c r="B664" s="3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5">
      <c r="A665" s="4"/>
      <c r="B665" s="3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5">
      <c r="A666" s="4"/>
      <c r="B666" s="3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5">
      <c r="A667" s="4"/>
      <c r="B667" s="3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5">
      <c r="A668" s="4"/>
      <c r="B668" s="3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5">
      <c r="A669" s="4"/>
      <c r="B669" s="3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5">
      <c r="A670" s="4"/>
      <c r="B670" s="3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5">
      <c r="A671" s="4"/>
      <c r="B671" s="3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5">
      <c r="A672" s="4"/>
      <c r="B672" s="3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5">
      <c r="A673" s="4"/>
      <c r="B673" s="3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5">
      <c r="A674" s="4"/>
      <c r="B674" s="3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5">
      <c r="A675" s="4"/>
      <c r="B675" s="3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5">
      <c r="A676" s="4"/>
      <c r="B676" s="3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5">
      <c r="A677" s="4"/>
      <c r="B677" s="3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5">
      <c r="A678" s="4"/>
      <c r="B678" s="3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5">
      <c r="A679" s="4"/>
      <c r="B679" s="3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5">
      <c r="A680" s="4"/>
      <c r="B680" s="3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5">
      <c r="A681" s="4"/>
      <c r="B681" s="3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5">
      <c r="A682" s="4"/>
      <c r="B682" s="3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5">
      <c r="A683" s="4"/>
      <c r="B683" s="3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5">
      <c r="A684" s="4"/>
      <c r="B684" s="3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5">
      <c r="A685" s="4"/>
      <c r="B685" s="3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5">
      <c r="A686" s="4"/>
      <c r="B686" s="3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5">
      <c r="A687" s="4"/>
      <c r="B687" s="3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5">
      <c r="A688" s="4"/>
      <c r="B688" s="3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5">
      <c r="A689" s="4"/>
      <c r="B689" s="3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5">
      <c r="A690" s="4"/>
      <c r="B690" s="3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5">
      <c r="A691" s="4"/>
      <c r="B691" s="3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5">
      <c r="A692" s="4"/>
      <c r="B692" s="3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5">
      <c r="A693" s="4"/>
      <c r="B693" s="3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5">
      <c r="A694" s="4"/>
      <c r="B694" s="3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5">
      <c r="A695" s="4"/>
      <c r="B695" s="3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5">
      <c r="A696" s="4"/>
      <c r="B696" s="3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5">
      <c r="A697" s="4"/>
      <c r="B697" s="3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5">
      <c r="A698" s="4"/>
      <c r="B698" s="3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5">
      <c r="A699" s="4"/>
      <c r="B699" s="3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5">
      <c r="A700" s="4"/>
      <c r="B700" s="3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5">
      <c r="A701" s="4"/>
      <c r="B701" s="3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5">
      <c r="A702" s="4"/>
      <c r="B702" s="3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5">
      <c r="A703" s="4"/>
      <c r="B703" s="3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5">
      <c r="A704" s="4"/>
      <c r="B704" s="3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5">
      <c r="A705" s="4"/>
      <c r="B705" s="3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5">
      <c r="A706" s="4"/>
      <c r="B706" s="3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5">
      <c r="A707" s="4"/>
      <c r="B707" s="3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5">
      <c r="A708" s="4"/>
      <c r="B708" s="3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5">
      <c r="A709" s="4"/>
      <c r="B709" s="3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5">
      <c r="A710" s="4"/>
      <c r="B710" s="3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5">
      <c r="A711" s="4"/>
      <c r="B711" s="3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5">
      <c r="A712" s="4"/>
      <c r="B712" s="3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5">
      <c r="A713" s="4"/>
      <c r="B713" s="3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5">
      <c r="A714" s="4"/>
      <c r="B714" s="3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5">
      <c r="A715" s="4"/>
      <c r="B715" s="3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5">
      <c r="A716" s="4"/>
      <c r="B716" s="3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5">
      <c r="A717" s="4"/>
      <c r="B717" s="3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5">
      <c r="A718" s="4"/>
      <c r="B718" s="3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5">
      <c r="A719" s="4"/>
      <c r="B719" s="3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5">
      <c r="A720" s="4"/>
      <c r="B720" s="3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5">
      <c r="A721" s="4"/>
      <c r="B721" s="3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5">
      <c r="A722" s="4"/>
      <c r="B722" s="3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5">
      <c r="A723" s="4"/>
      <c r="B723" s="3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5">
      <c r="A724" s="4"/>
      <c r="B724" s="3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5">
      <c r="A725" s="4"/>
      <c r="B725" s="3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5">
      <c r="A726" s="4"/>
      <c r="B726" s="3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5">
      <c r="A727" s="4"/>
      <c r="B727" s="3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5">
      <c r="A728" s="4"/>
      <c r="B728" s="3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5">
      <c r="A729" s="4"/>
      <c r="B729" s="3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5">
      <c r="A730" s="4"/>
      <c r="B730" s="3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5">
      <c r="A731" s="4"/>
      <c r="B731" s="3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5">
      <c r="A732" s="4"/>
      <c r="B732" s="3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5">
      <c r="A733" s="4"/>
      <c r="B733" s="3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5">
      <c r="A734" s="4"/>
      <c r="B734" s="3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5">
      <c r="A735" s="4"/>
      <c r="B735" s="3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5">
      <c r="A736" s="4"/>
      <c r="B736" s="3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5">
      <c r="A737" s="4"/>
      <c r="B737" s="3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5">
      <c r="A738" s="4"/>
      <c r="B738" s="3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5">
      <c r="A739" s="4"/>
      <c r="B739" s="3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5">
      <c r="A740" s="4"/>
      <c r="B740" s="3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5">
      <c r="A741" s="4"/>
      <c r="B741" s="3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5">
      <c r="A742" s="4"/>
      <c r="B742" s="3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5">
      <c r="A743" s="4"/>
      <c r="B743" s="3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5">
      <c r="A744" s="4"/>
      <c r="B744" s="3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5">
      <c r="A745" s="4"/>
      <c r="B745" s="3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5">
      <c r="A746" s="4"/>
      <c r="B746" s="3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5">
      <c r="A747" s="4"/>
      <c r="B747" s="3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5">
      <c r="A748" s="4"/>
      <c r="B748" s="3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5">
      <c r="A749" s="4"/>
      <c r="B749" s="3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5">
      <c r="A750" s="4"/>
      <c r="B750" s="3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5">
      <c r="A751" s="4"/>
      <c r="B751" s="3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5">
      <c r="A752" s="4"/>
      <c r="B752" s="3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5">
      <c r="A753" s="4"/>
      <c r="B753" s="3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5">
      <c r="A754" s="4"/>
      <c r="B754" s="3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5">
      <c r="A755" s="4"/>
      <c r="B755" s="3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5">
      <c r="A756" s="4"/>
      <c r="B756" s="3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5">
      <c r="A757" s="4"/>
      <c r="B757" s="3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5">
      <c r="A758" s="4"/>
      <c r="B758" s="3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5">
      <c r="A759" s="4"/>
      <c r="B759" s="3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5">
      <c r="A760" s="4"/>
      <c r="B760" s="3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5">
      <c r="A761" s="4"/>
      <c r="B761" s="3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5">
      <c r="A762" s="4"/>
      <c r="B762" s="3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5">
      <c r="A763" s="4"/>
      <c r="B763" s="3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5">
      <c r="A764" s="4"/>
      <c r="B764" s="3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5">
      <c r="A765" s="4"/>
      <c r="B765" s="3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5">
      <c r="A766" s="4"/>
      <c r="B766" s="3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5">
      <c r="A767" s="4"/>
      <c r="B767" s="3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5">
      <c r="A768" s="4"/>
      <c r="B768" s="3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5">
      <c r="A769" s="4"/>
      <c r="B769" s="3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5">
      <c r="A770" s="4"/>
      <c r="B770" s="3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5">
      <c r="A771" s="4"/>
      <c r="B771" s="3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5">
      <c r="A772" s="4"/>
      <c r="B772" s="3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5">
      <c r="A773" s="4"/>
      <c r="B773" s="3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5">
      <c r="A774" s="4"/>
      <c r="B774" s="3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5">
      <c r="A775" s="4"/>
      <c r="B775" s="3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5">
      <c r="A776" s="4"/>
      <c r="B776" s="3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5">
      <c r="A777" s="4"/>
      <c r="B777" s="3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5">
      <c r="A778" s="4"/>
      <c r="B778" s="3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5">
      <c r="A779" s="4"/>
      <c r="B779" s="3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5">
      <c r="A780" s="4"/>
      <c r="B780" s="3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5">
      <c r="A781" s="4"/>
      <c r="B781" s="3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5">
      <c r="A782" s="4"/>
      <c r="B782" s="3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5">
      <c r="A783" s="4"/>
      <c r="B783" s="3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5">
      <c r="A784" s="4"/>
      <c r="B784" s="3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5">
      <c r="A785" s="4"/>
      <c r="B785" s="3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5">
      <c r="A786" s="4"/>
      <c r="B786" s="3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5">
      <c r="A787" s="4"/>
      <c r="B787" s="3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5">
      <c r="A788" s="4"/>
      <c r="B788" s="3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5">
      <c r="A789" s="4"/>
      <c r="B789" s="3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5">
      <c r="A790" s="4"/>
      <c r="B790" s="3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5">
      <c r="A791" s="4"/>
      <c r="B791" s="3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5">
      <c r="A792" s="4"/>
      <c r="B792" s="3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5">
      <c r="A793" s="4"/>
      <c r="B793" s="3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5">
      <c r="A794" s="4"/>
      <c r="B794" s="3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5">
      <c r="A795" s="4"/>
      <c r="B795" s="3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5">
      <c r="A796" s="4"/>
      <c r="B796" s="3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5">
      <c r="A797" s="4"/>
      <c r="B797" s="3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5">
      <c r="A798" s="4"/>
      <c r="B798" s="3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5">
      <c r="A799" s="4"/>
      <c r="B799" s="3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5">
      <c r="A800" s="4"/>
      <c r="B800" s="3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5">
      <c r="A801" s="4"/>
      <c r="B801" s="3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5">
      <c r="A802" s="4"/>
      <c r="B802" s="3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5">
      <c r="A803" s="4"/>
      <c r="B803" s="3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5">
      <c r="A804" s="4"/>
      <c r="B804" s="3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5">
      <c r="A805" s="4"/>
      <c r="B805" s="3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5">
      <c r="A806" s="4"/>
      <c r="B806" s="3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5">
      <c r="A807" s="4"/>
      <c r="B807" s="3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5">
      <c r="A808" s="4"/>
      <c r="B808" s="3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5">
      <c r="A809" s="4"/>
      <c r="B809" s="3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5">
      <c r="A810" s="4"/>
      <c r="B810" s="3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5">
      <c r="A811" s="4"/>
      <c r="B811" s="3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5">
      <c r="A812" s="4"/>
      <c r="B812" s="3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5">
      <c r="A813" s="4"/>
      <c r="B813" s="3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5">
      <c r="A814" s="4"/>
      <c r="B814" s="3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5">
      <c r="A815" s="4"/>
      <c r="B815" s="3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5">
      <c r="A816" s="4"/>
      <c r="B816" s="3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5">
      <c r="A817" s="4"/>
      <c r="B817" s="3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5">
      <c r="A818" s="4"/>
      <c r="B818" s="3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5">
      <c r="A819" s="4"/>
      <c r="B819" s="3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5">
      <c r="A820" s="4"/>
      <c r="B820" s="3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5">
      <c r="A821" s="4"/>
      <c r="B821" s="3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5">
      <c r="A822" s="4"/>
      <c r="B822" s="3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5">
      <c r="A823" s="4"/>
      <c r="B823" s="3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5">
      <c r="A824" s="4"/>
      <c r="B824" s="3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5">
      <c r="A825" s="4"/>
      <c r="B825" s="3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5">
      <c r="A826" s="4"/>
      <c r="B826" s="3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5">
      <c r="A827" s="4"/>
      <c r="B827" s="3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5">
      <c r="A828" s="4"/>
      <c r="B828" s="3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5">
      <c r="A829" s="4"/>
      <c r="B829" s="3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5">
      <c r="A830" s="4"/>
      <c r="B830" s="3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5">
      <c r="A831" s="4"/>
      <c r="B831" s="3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5">
      <c r="A832" s="4"/>
      <c r="B832" s="3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5">
      <c r="A833" s="4"/>
      <c r="B833" s="3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5">
      <c r="A834" s="4"/>
      <c r="B834" s="3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5">
      <c r="A835" s="4"/>
      <c r="B835" s="3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5">
      <c r="A836" s="4"/>
      <c r="B836" s="3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5">
      <c r="A837" s="4"/>
      <c r="B837" s="3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5">
      <c r="A838" s="4"/>
      <c r="B838" s="3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5">
      <c r="A839" s="4"/>
      <c r="B839" s="3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5">
      <c r="A840" s="4"/>
      <c r="B840" s="3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5">
      <c r="A841" s="4"/>
      <c r="B841" s="3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5">
      <c r="A842" s="4"/>
      <c r="B842" s="3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5">
      <c r="A843" s="4"/>
      <c r="B843" s="3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5">
      <c r="A844" s="4"/>
      <c r="B844" s="3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5">
      <c r="A845" s="4"/>
      <c r="B845" s="3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5">
      <c r="A846" s="4"/>
      <c r="B846" s="3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5">
      <c r="A847" s="4"/>
      <c r="B847" s="3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5">
      <c r="A848" s="4"/>
      <c r="B848" s="3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5">
      <c r="A849" s="4"/>
      <c r="B849" s="3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5">
      <c r="A850" s="4"/>
      <c r="B850" s="3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5">
      <c r="A851" s="4"/>
      <c r="B851" s="3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5">
      <c r="A852" s="4"/>
      <c r="B852" s="3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5">
      <c r="A853" s="4"/>
      <c r="B853" s="3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5">
      <c r="A854" s="4"/>
      <c r="B854" s="3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5">
      <c r="A855" s="4"/>
      <c r="B855" s="3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5">
      <c r="A856" s="4"/>
      <c r="B856" s="3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5">
      <c r="A857" s="4"/>
      <c r="B857" s="3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5">
      <c r="A858" s="4"/>
      <c r="B858" s="3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5">
      <c r="A859" s="4"/>
      <c r="B859" s="3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5">
      <c r="A860" s="4"/>
      <c r="B860" s="3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5">
      <c r="A861" s="4"/>
      <c r="B861" s="3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5">
      <c r="A862" s="4"/>
      <c r="B862" s="3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5">
      <c r="A863" s="4"/>
      <c r="B863" s="3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5">
      <c r="A864" s="4"/>
      <c r="B864" s="3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5">
      <c r="A865" s="4"/>
      <c r="B865" s="3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5">
      <c r="A866" s="4"/>
      <c r="B866" s="3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5">
      <c r="A867" s="4"/>
      <c r="B867" s="3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5">
      <c r="A868" s="4"/>
      <c r="B868" s="3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5">
      <c r="A869" s="4"/>
      <c r="B869" s="3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5">
      <c r="A870" s="4"/>
      <c r="B870" s="3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5">
      <c r="A871" s="4"/>
      <c r="B871" s="3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5">
      <c r="A872" s="4"/>
      <c r="B872" s="3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5">
      <c r="A873" s="4"/>
      <c r="B873" s="3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5">
      <c r="A874" s="4"/>
      <c r="B874" s="3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5">
      <c r="A875" s="4"/>
      <c r="B875" s="3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5">
      <c r="A876" s="4"/>
      <c r="B876" s="3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5">
      <c r="A877" s="4"/>
      <c r="B877" s="3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5">
      <c r="A878" s="4"/>
      <c r="B878" s="3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5">
      <c r="A879" s="4"/>
      <c r="B879" s="3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5">
      <c r="A880" s="4"/>
      <c r="B880" s="3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5">
      <c r="A881" s="4"/>
      <c r="B881" s="3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5">
      <c r="A882" s="4"/>
      <c r="B882" s="3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5">
      <c r="A883" s="4"/>
      <c r="B883" s="3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5">
      <c r="A884" s="4"/>
      <c r="B884" s="3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5">
      <c r="A885" s="4"/>
      <c r="B885" s="3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5">
      <c r="A886" s="4"/>
      <c r="B886" s="3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5">
      <c r="A887" s="4"/>
      <c r="B887" s="3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5">
      <c r="A888" s="4"/>
      <c r="B888" s="3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5">
      <c r="A889" s="4"/>
      <c r="B889" s="3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5">
      <c r="A890" s="4"/>
      <c r="B890" s="3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5">
      <c r="A891" s="4"/>
      <c r="B891" s="3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5">
      <c r="A892" s="4"/>
      <c r="B892" s="3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5">
      <c r="A893" s="4"/>
      <c r="B893" s="3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5">
      <c r="A894" s="4"/>
      <c r="B894" s="3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5">
      <c r="A895" s="4"/>
      <c r="B895" s="3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5">
      <c r="A896" s="4"/>
      <c r="B896" s="3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5">
      <c r="A897" s="4"/>
      <c r="B897" s="3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5">
      <c r="A898" s="4"/>
      <c r="B898" s="3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5">
      <c r="A899" s="4"/>
      <c r="B899" s="3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5">
      <c r="A900" s="4"/>
      <c r="B900" s="3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5">
      <c r="A901" s="4"/>
      <c r="B901" s="3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5">
      <c r="A902" s="4"/>
      <c r="B902" s="3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5">
      <c r="A903" s="4"/>
      <c r="B903" s="3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5">
      <c r="A904" s="4"/>
      <c r="B904" s="3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5">
      <c r="A905" s="4"/>
      <c r="B905" s="3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5">
      <c r="A906" s="4"/>
      <c r="B906" s="3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5">
      <c r="A907" s="4"/>
      <c r="B907" s="3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5">
      <c r="A908" s="4"/>
      <c r="B908" s="3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5">
      <c r="A909" s="4"/>
      <c r="B909" s="3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5">
      <c r="A910" s="4"/>
      <c r="B910" s="3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5">
      <c r="A911" s="4"/>
      <c r="B911" s="3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5">
      <c r="A912" s="4"/>
      <c r="B912" s="3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5">
      <c r="A913" s="4"/>
      <c r="B913" s="3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5">
      <c r="A914" s="4"/>
      <c r="B914" s="3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5">
      <c r="A915" s="4"/>
      <c r="B915" s="3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5">
      <c r="A916" s="4"/>
      <c r="B916" s="3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5">
      <c r="A917" s="4"/>
      <c r="B917" s="3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5">
      <c r="A918" s="4"/>
      <c r="B918" s="3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5">
      <c r="A919" s="4"/>
      <c r="B919" s="3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5">
      <c r="A920" s="4"/>
      <c r="B920" s="3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5">
      <c r="A921" s="4"/>
      <c r="B921" s="3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5">
      <c r="A922" s="4"/>
      <c r="B922" s="3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5">
      <c r="A923" s="4"/>
      <c r="B923" s="3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5">
      <c r="A924" s="4"/>
      <c r="B924" s="3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5">
      <c r="A925" s="4"/>
      <c r="B925" s="3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5">
      <c r="A926" s="4"/>
      <c r="B926" s="3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5">
      <c r="A927" s="4"/>
      <c r="B927" s="3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5">
      <c r="A928" s="4"/>
      <c r="B928" s="3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5">
      <c r="A929" s="4"/>
      <c r="B929" s="3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5">
      <c r="A930" s="4"/>
      <c r="B930" s="3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5">
      <c r="A931" s="4"/>
      <c r="B931" s="3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5">
      <c r="A932" s="4"/>
      <c r="B932" s="3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5">
      <c r="A933" s="4"/>
      <c r="B933" s="3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5">
      <c r="A934" s="4"/>
      <c r="B934" s="3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5">
      <c r="A935" s="4"/>
      <c r="B935" s="3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5">
      <c r="A936" s="4"/>
      <c r="B936" s="3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5">
      <c r="A937" s="4"/>
      <c r="B937" s="3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5">
      <c r="A938" s="4"/>
      <c r="B938" s="3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5">
      <c r="A939" s="4"/>
      <c r="B939" s="3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5">
      <c r="A940" s="4"/>
      <c r="B940" s="3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5">
      <c r="A941" s="4"/>
      <c r="B941" s="3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5">
      <c r="A942" s="4"/>
      <c r="B942" s="3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5">
      <c r="A943" s="4"/>
      <c r="B943" s="3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5">
      <c r="A944" s="4"/>
      <c r="B944" s="3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5">
      <c r="A945" s="4"/>
      <c r="B945" s="3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5">
      <c r="A946" s="4"/>
      <c r="B946" s="3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5">
      <c r="A947" s="4"/>
      <c r="B947" s="3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5">
      <c r="A948" s="4"/>
      <c r="B948" s="3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5">
      <c r="A949" s="4"/>
      <c r="B949" s="3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5">
      <c r="A950" s="4"/>
      <c r="B950" s="3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5">
      <c r="A951" s="4"/>
      <c r="B951" s="3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5">
      <c r="A952" s="4"/>
      <c r="B952" s="3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5">
      <c r="A953" s="4"/>
      <c r="B953" s="3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5">
      <c r="A954" s="4"/>
      <c r="B954" s="3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5">
      <c r="A955" s="4"/>
      <c r="B955" s="3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5">
      <c r="A956" s="4"/>
      <c r="B956" s="3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5">
      <c r="A957" s="4"/>
      <c r="B957" s="3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5">
      <c r="A958" s="4"/>
      <c r="B958" s="3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5">
      <c r="A959" s="4"/>
      <c r="B959" s="3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5">
      <c r="A960" s="4"/>
      <c r="B960" s="3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5">
      <c r="A961" s="4"/>
      <c r="B961" s="3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5">
      <c r="A962" s="4"/>
      <c r="B962" s="3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5">
      <c r="A963" s="4"/>
      <c r="B963" s="3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5">
      <c r="A964" s="4"/>
      <c r="B964" s="3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5">
      <c r="A965" s="4"/>
      <c r="B965" s="3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5">
      <c r="A966" s="4"/>
      <c r="B966" s="3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5">
      <c r="A967" s="4"/>
      <c r="B967" s="3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5">
      <c r="A968" s="4"/>
      <c r="B968" s="3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5">
      <c r="A969" s="4"/>
      <c r="B969" s="3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5">
      <c r="A970" s="4"/>
      <c r="B970" s="3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5">
      <c r="A971" s="4"/>
      <c r="B971" s="3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5">
      <c r="A972" s="4"/>
      <c r="B972" s="3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5">
      <c r="A973" s="4"/>
      <c r="B973" s="3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5">
      <c r="A974" s="4"/>
      <c r="B974" s="3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5">
      <c r="A975" s="4"/>
      <c r="B975" s="3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5">
      <c r="A976" s="4"/>
      <c r="B976" s="3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5">
      <c r="A977" s="4"/>
      <c r="B977" s="3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5">
      <c r="A978" s="4"/>
      <c r="B978" s="3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5">
      <c r="A979" s="4"/>
      <c r="B979" s="3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5">
      <c r="A980" s="4"/>
      <c r="B980" s="3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5">
      <c r="A981" s="4"/>
      <c r="B981" s="3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5">
      <c r="A982" s="4"/>
      <c r="B982" s="3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5">
      <c r="A983" s="4"/>
      <c r="B983" s="3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5">
      <c r="A984" s="4"/>
      <c r="B984" s="3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5">
      <c r="A985" s="4"/>
      <c r="B985" s="3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5">
      <c r="A986" s="4"/>
      <c r="B986" s="3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5">
      <c r="A987" s="4"/>
      <c r="B987" s="3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5">
      <c r="A988" s="4"/>
      <c r="B988" s="3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5">
      <c r="A989" s="4"/>
      <c r="B989" s="3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5">
      <c r="A990" s="4"/>
      <c r="B990" s="3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5">
      <c r="A991" s="4"/>
      <c r="B991" s="3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5">
      <c r="A992" s="4"/>
      <c r="B992" s="3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5">
      <c r="A993" s="4"/>
      <c r="B993" s="3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5">
      <c r="A994" s="4"/>
      <c r="B994" s="3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5">
      <c r="A995" s="4"/>
      <c r="B995" s="3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5">
      <c r="A996" s="4"/>
      <c r="B996" s="3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5">
      <c r="A997" s="4"/>
      <c r="B997" s="3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5">
      <c r="A998" s="4"/>
      <c r="B998" s="3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5">
      <c r="A999" s="4"/>
      <c r="B999" s="3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sheetProtection selectLockedCells="1"/>
  <mergeCells count="2">
    <mergeCell ref="A8:A13"/>
    <mergeCell ref="B8:B13"/>
  </mergeCells>
  <conditionalFormatting sqref="B1:B3 B5:B28">
    <cfRule type="containsBlanks" dxfId="8" priority="11">
      <formula>LEN(TRIM(B1))=0</formula>
    </cfRule>
  </conditionalFormatting>
  <conditionalFormatting sqref="B6:B7">
    <cfRule type="containsText" dxfId="7" priority="12" operator="containsText" text="FALSE">
      <formula>NOT(ISERROR(SEARCH(("FALSE"),(B6))))</formula>
    </cfRule>
  </conditionalFormatting>
  <conditionalFormatting sqref="B6:B7">
    <cfRule type="containsText" dxfId="6" priority="13" operator="containsText" text="select the financial year">
      <formula>NOT(ISERROR(SEARCH(("select the financial year"),(B6))))</formula>
    </cfRule>
  </conditionalFormatting>
  <conditionalFormatting sqref="B30:B31">
    <cfRule type="containsBlanks" dxfId="5" priority="10">
      <formula>LEN(TRIM(B30))=0</formula>
    </cfRule>
  </conditionalFormatting>
  <conditionalFormatting sqref="B33:B34">
    <cfRule type="containsBlanks" dxfId="4" priority="9">
      <formula>LEN(TRIM(B33))=0</formula>
    </cfRule>
  </conditionalFormatting>
  <conditionalFormatting sqref="B4">
    <cfRule type="containsBlanks" dxfId="3" priority="7">
      <formula>LEN(TRIM(B4))=0</formula>
    </cfRule>
  </conditionalFormatting>
  <conditionalFormatting sqref="B29">
    <cfRule type="containsBlanks" dxfId="2" priority="3">
      <formula>LEN(TRIM(B29))=0</formula>
    </cfRule>
  </conditionalFormatting>
  <conditionalFormatting sqref="B32">
    <cfRule type="containsBlanks" dxfId="1" priority="2">
      <formula>LEN(TRIM(B32))=0</formula>
    </cfRule>
  </conditionalFormatting>
  <dataValidations count="3">
    <dataValidation type="decimal" allowBlank="1" showErrorMessage="1" sqref="B14">
      <formula1>1</formula1>
      <formula2>100</formula2>
    </dataValidation>
    <dataValidation type="date" operator="greaterThan" allowBlank="1" showInputMessage="1" showErrorMessage="1" prompt="kindly enter date" sqref="B4">
      <formula1>44927</formula1>
    </dataValidation>
    <dataValidation type="decimal" allowBlank="1" showInputMessage="1" showErrorMessage="1" prompt="kindly enter numeric values only" sqref="B25 B27:B28 B30:B31 B33:B34">
      <formula1>0</formula1>
      <formula2>9999999999</formula2>
    </dataValidation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>
          <x14:formula1>
            <xm:f>'company data'!$B$2:$B$13</xm:f>
          </x14:formula1>
          <xm:sqref>B15</xm:sqref>
        </x14:dataValidation>
        <x14:dataValidation type="list" allowBlank="1" showErrorMessage="1">
          <x14:formula1>
            <xm:f>'company data'!$D$2:$D$23</xm:f>
          </x14:formula1>
          <xm:sqref>B17</xm:sqref>
        </x14:dataValidation>
        <x14:dataValidation type="list" allowBlank="1" showErrorMessage="1">
          <x14:formula1>
            <xm:f>'company data'!$A$2:$A$7</xm:f>
          </x14:formula1>
          <xm:sqref>B1</xm:sqref>
        </x14:dataValidation>
        <x14:dataValidation type="list" allowBlank="1" showErrorMessage="1">
          <x14:formula1>
            <xm:f>'company data'!$E$2:$E$18</xm:f>
          </x14:formula1>
          <xm:sqref>B18</xm:sqref>
        </x14:dataValidation>
        <x14:dataValidation type="list" allowBlank="1" showErrorMessage="1">
          <x14:formula1>
            <xm:f>'company data'!$C$2:$C$16</xm:f>
          </x14:formula1>
          <xm:sqref>B16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1"/>
  <sheetViews>
    <sheetView showGridLines="0" tabSelected="1" topLeftCell="A28" zoomScaleNormal="100" workbookViewId="0">
      <selection activeCell="N24" sqref="N24"/>
    </sheetView>
  </sheetViews>
  <sheetFormatPr defaultColWidth="14.42578125" defaultRowHeight="15" x14ac:dyDescent="0.25"/>
  <cols>
    <col min="1" max="1" width="8.7109375" style="49" customWidth="1"/>
    <col min="2" max="2" width="8.28515625" style="49" customWidth="1"/>
    <col min="3" max="3" width="8.7109375" style="49" customWidth="1"/>
    <col min="4" max="4" width="18.28515625" style="49" customWidth="1"/>
    <col min="5" max="5" width="9.7109375" style="49" customWidth="1"/>
    <col min="6" max="6" width="6.5703125" style="49" customWidth="1"/>
    <col min="7" max="7" width="4.7109375" style="49" customWidth="1"/>
    <col min="8" max="8" width="10.140625" style="49" customWidth="1"/>
    <col min="9" max="9" width="8.7109375" style="49" customWidth="1"/>
    <col min="10" max="10" width="6.5703125" style="49" customWidth="1"/>
    <col min="11" max="12" width="8.7109375" style="49" customWidth="1"/>
    <col min="13" max="13" width="5.7109375" style="49" customWidth="1"/>
    <col min="14" max="26" width="8.7109375" style="49" customWidth="1"/>
    <col min="27" max="16384" width="14.42578125" style="49"/>
  </cols>
  <sheetData>
    <row r="1" spans="1:10" x14ac:dyDescent="0.25">
      <c r="A1" s="214" t="s">
        <v>33</v>
      </c>
      <c r="B1" s="154"/>
      <c r="C1" s="154"/>
      <c r="D1" s="154"/>
      <c r="E1" s="154"/>
      <c r="F1" s="154"/>
      <c r="G1" s="154"/>
      <c r="H1" s="154"/>
      <c r="I1" s="154"/>
      <c r="J1" s="154"/>
    </row>
    <row r="2" spans="1:10" ht="3.75" customHeight="1" thickBot="1" x14ac:dyDescent="0.3">
      <c r="A2" s="174"/>
      <c r="B2" s="174"/>
      <c r="C2" s="174"/>
      <c r="D2" s="174"/>
      <c r="E2" s="174"/>
      <c r="F2" s="174"/>
      <c r="G2" s="174"/>
      <c r="H2" s="174"/>
      <c r="I2" s="174"/>
      <c r="J2" s="174"/>
    </row>
    <row r="3" spans="1:10" x14ac:dyDescent="0.25">
      <c r="A3" s="61" t="s">
        <v>34</v>
      </c>
      <c r="B3" s="53"/>
      <c r="C3" s="53"/>
      <c r="D3" s="75"/>
      <c r="E3" s="215" t="s">
        <v>35</v>
      </c>
      <c r="F3" s="188"/>
      <c r="G3" s="216"/>
      <c r="H3" s="215" t="s">
        <v>36</v>
      </c>
      <c r="I3" s="188"/>
      <c r="J3" s="189"/>
    </row>
    <row r="4" spans="1:10" ht="15.75" thickBot="1" x14ac:dyDescent="0.3">
      <c r="A4" s="50" t="s">
        <v>105</v>
      </c>
      <c r="B4" s="45"/>
      <c r="C4" s="45"/>
      <c r="D4" s="48"/>
      <c r="E4" s="217" t="str">
        <f>'input data'!B3</f>
        <v>BK002/25-26</v>
      </c>
      <c r="F4" s="184"/>
      <c r="G4" s="180"/>
      <c r="H4" s="218">
        <f>'input data'!B4</f>
        <v>45945</v>
      </c>
      <c r="I4" s="219"/>
      <c r="J4" s="220"/>
    </row>
    <row r="5" spans="1:10" ht="15" customHeight="1" x14ac:dyDescent="0.25">
      <c r="A5" s="126" t="s">
        <v>169</v>
      </c>
      <c r="B5" s="127"/>
      <c r="C5" s="127"/>
      <c r="D5" s="127"/>
      <c r="E5" s="158" t="s">
        <v>108</v>
      </c>
      <c r="F5" s="151"/>
      <c r="G5" s="152"/>
      <c r="H5" s="158" t="s">
        <v>37</v>
      </c>
      <c r="I5" s="151"/>
      <c r="J5" s="178"/>
    </row>
    <row r="6" spans="1:10" ht="15.75" thickBot="1" x14ac:dyDescent="0.3">
      <c r="A6" s="126"/>
      <c r="B6" s="127"/>
      <c r="C6" s="127"/>
      <c r="D6" s="127"/>
      <c r="E6" s="209" t="str">
        <f>'input data'!B5</f>
        <v>PI1908/25-26</v>
      </c>
      <c r="F6" s="184"/>
      <c r="G6" s="180"/>
      <c r="H6" s="210" t="str">
        <f>'input data'!B6</f>
        <v>AD240725023182F</v>
      </c>
      <c r="I6" s="184"/>
      <c r="J6" s="181"/>
    </row>
    <row r="7" spans="1:10" x14ac:dyDescent="0.25">
      <c r="A7" s="126"/>
      <c r="B7" s="127"/>
      <c r="C7" s="127"/>
      <c r="D7" s="127"/>
      <c r="E7" s="158" t="s">
        <v>38</v>
      </c>
      <c r="F7" s="151"/>
      <c r="G7" s="152"/>
      <c r="H7" s="158" t="s">
        <v>39</v>
      </c>
      <c r="I7" s="151"/>
      <c r="J7" s="178"/>
    </row>
    <row r="8" spans="1:10" ht="15.75" thickBot="1" x14ac:dyDescent="0.3">
      <c r="A8" s="126"/>
      <c r="B8" s="127"/>
      <c r="C8" s="127"/>
      <c r="D8" s="127"/>
      <c r="E8" s="211" t="s">
        <v>104</v>
      </c>
      <c r="F8" s="212"/>
      <c r="G8" s="213"/>
      <c r="H8" s="211" t="s">
        <v>103</v>
      </c>
      <c r="I8" s="174"/>
      <c r="J8" s="173"/>
    </row>
    <row r="9" spans="1:10" x14ac:dyDescent="0.25">
      <c r="A9" s="126"/>
      <c r="B9" s="127"/>
      <c r="C9" s="127"/>
      <c r="D9" s="127"/>
      <c r="E9" s="187" t="s">
        <v>40</v>
      </c>
      <c r="F9" s="188"/>
      <c r="G9" s="189"/>
      <c r="H9" s="187" t="s">
        <v>41</v>
      </c>
      <c r="I9" s="188"/>
      <c r="J9" s="189"/>
    </row>
    <row r="10" spans="1:10" ht="15.75" thickBot="1" x14ac:dyDescent="0.3">
      <c r="A10" s="126"/>
      <c r="B10" s="127"/>
      <c r="C10" s="127"/>
      <c r="D10" s="127"/>
      <c r="E10" s="171" t="str">
        <f>'input data'!B15</f>
        <v>Wooden Crate Packing</v>
      </c>
      <c r="F10" s="154"/>
      <c r="G10" s="173"/>
      <c r="H10" s="171" t="str">
        <f>'input data'!B14 &amp; " " &amp; 'input data'!B16</f>
        <v>1 FCL</v>
      </c>
      <c r="I10" s="154"/>
      <c r="J10" s="173"/>
    </row>
    <row r="11" spans="1:10" x14ac:dyDescent="0.25">
      <c r="A11" s="126"/>
      <c r="B11" s="127"/>
      <c r="C11" s="127"/>
      <c r="D11" s="127"/>
      <c r="E11" s="187" t="s">
        <v>43</v>
      </c>
      <c r="F11" s="188"/>
      <c r="G11" s="189"/>
      <c r="H11" s="190" t="s">
        <v>44</v>
      </c>
      <c r="I11" s="188"/>
      <c r="J11" s="189"/>
    </row>
    <row r="12" spans="1:10" ht="15" customHeight="1" x14ac:dyDescent="0.25">
      <c r="A12" s="126"/>
      <c r="B12" s="127"/>
      <c r="C12" s="127"/>
      <c r="D12" s="127"/>
      <c r="E12" s="200" t="str">
        <f>'input data'!B17</f>
        <v>FOB</v>
      </c>
      <c r="F12" s="154"/>
      <c r="G12" s="173"/>
      <c r="H12" s="204" t="str">
        <f>'input data'!B18</f>
        <v>30% Advance and Remaining Against BL within 7 days</v>
      </c>
      <c r="I12" s="205"/>
      <c r="J12" s="206"/>
    </row>
    <row r="13" spans="1:10" ht="15.75" thickBot="1" x14ac:dyDescent="0.3">
      <c r="A13" s="128"/>
      <c r="B13" s="129"/>
      <c r="C13" s="129"/>
      <c r="D13" s="129"/>
      <c r="E13" s="201"/>
      <c r="F13" s="202"/>
      <c r="G13" s="203"/>
      <c r="H13" s="207"/>
      <c r="I13" s="207"/>
      <c r="J13" s="208"/>
    </row>
    <row r="14" spans="1:10" ht="15" customHeight="1" x14ac:dyDescent="0.25">
      <c r="A14" s="50" t="s">
        <v>42</v>
      </c>
      <c r="B14" s="45"/>
      <c r="C14" s="45"/>
      <c r="D14" s="48"/>
      <c r="E14" s="117" t="s">
        <v>45</v>
      </c>
      <c r="F14" s="118"/>
      <c r="G14" s="118"/>
      <c r="H14" s="118"/>
      <c r="I14" s="118"/>
      <c r="J14" s="119"/>
    </row>
    <row r="15" spans="1:10" x14ac:dyDescent="0.25">
      <c r="A15" s="193" t="str">
        <f>'input data'!B7</f>
        <v>ZHIÑIN MENDIETA ROSA LOURDES
RUC: 0105370399001
DIRECCIÓN: Barrio: HUISHIL ALTO Calle: 1 DE SEPTIEMBRE
Número: S/N Intersección: BUENA ESPERANZA
Referencia: DIAGONAL A LA HOSTERIA CABALLO CAMPANA
Cuenca - Ecuador</v>
      </c>
      <c r="B15" s="154"/>
      <c r="C15" s="154"/>
      <c r="D15" s="155"/>
      <c r="E15" s="120" t="str">
        <f>'input data'!B8</f>
        <v>DAPSE EXPRESS INTERNATIONAL LOGISTICS AND TRADE 
RUC 172011272001
operaciones@dapseexpress.com
Teléfono: 0987681580
QUITO-ECUADOR</v>
      </c>
      <c r="F15" s="121"/>
      <c r="G15" s="121"/>
      <c r="H15" s="121"/>
      <c r="I15" s="121"/>
      <c r="J15" s="122"/>
    </row>
    <row r="16" spans="1:10" x14ac:dyDescent="0.25">
      <c r="A16" s="194"/>
      <c r="B16" s="154"/>
      <c r="C16" s="154"/>
      <c r="D16" s="155"/>
      <c r="E16" s="120"/>
      <c r="F16" s="121"/>
      <c r="G16" s="121"/>
      <c r="H16" s="121"/>
      <c r="I16" s="121"/>
      <c r="J16" s="122"/>
    </row>
    <row r="17" spans="1:14" x14ac:dyDescent="0.25">
      <c r="A17" s="194"/>
      <c r="B17" s="154"/>
      <c r="C17" s="154"/>
      <c r="D17" s="155"/>
      <c r="E17" s="120"/>
      <c r="F17" s="121"/>
      <c r="G17" s="121"/>
      <c r="H17" s="121"/>
      <c r="I17" s="121"/>
      <c r="J17" s="122"/>
    </row>
    <row r="18" spans="1:14" x14ac:dyDescent="0.25">
      <c r="A18" s="194"/>
      <c r="B18" s="154"/>
      <c r="C18" s="154"/>
      <c r="D18" s="155"/>
      <c r="E18" s="120"/>
      <c r="F18" s="121"/>
      <c r="G18" s="121"/>
      <c r="H18" s="121"/>
      <c r="I18" s="121"/>
      <c r="J18" s="122"/>
      <c r="N18" s="98"/>
    </row>
    <row r="19" spans="1:14" x14ac:dyDescent="0.25">
      <c r="A19" s="194"/>
      <c r="B19" s="154"/>
      <c r="C19" s="154"/>
      <c r="D19" s="155"/>
      <c r="E19" s="120"/>
      <c r="F19" s="121"/>
      <c r="G19" s="121"/>
      <c r="H19" s="121"/>
      <c r="I19" s="121"/>
      <c r="J19" s="122"/>
    </row>
    <row r="20" spans="1:14" ht="48" customHeight="1" thickBot="1" x14ac:dyDescent="0.3">
      <c r="A20" s="195"/>
      <c r="B20" s="184"/>
      <c r="C20" s="184"/>
      <c r="D20" s="180"/>
      <c r="E20" s="123"/>
      <c r="F20" s="124"/>
      <c r="G20" s="124"/>
      <c r="H20" s="124"/>
      <c r="I20" s="124"/>
      <c r="J20" s="125"/>
    </row>
    <row r="21" spans="1:14" ht="15.75" customHeight="1" x14ac:dyDescent="0.25">
      <c r="A21" s="196" t="s">
        <v>46</v>
      </c>
      <c r="B21" s="152"/>
      <c r="C21" s="197" t="s">
        <v>25</v>
      </c>
      <c r="D21" s="152"/>
      <c r="E21" s="197" t="s">
        <v>47</v>
      </c>
      <c r="F21" s="151"/>
      <c r="G21" s="152"/>
      <c r="H21" s="197" t="s">
        <v>29</v>
      </c>
      <c r="I21" s="151"/>
      <c r="J21" s="178"/>
    </row>
    <row r="22" spans="1:14" ht="14.25" customHeight="1" x14ac:dyDescent="0.25">
      <c r="A22" s="198" t="s">
        <v>48</v>
      </c>
      <c r="B22" s="155"/>
      <c r="C22" s="199" t="str">
        <f>'input data'!B19</f>
        <v>MUNDRA</v>
      </c>
      <c r="D22" s="155"/>
      <c r="E22" s="182" t="s">
        <v>49</v>
      </c>
      <c r="F22" s="154"/>
      <c r="G22" s="155"/>
      <c r="H22" s="182" t="str">
        <f>'input data'!B23</f>
        <v>ECUADOR</v>
      </c>
      <c r="I22" s="154"/>
      <c r="J22" s="173"/>
    </row>
    <row r="23" spans="1:14" ht="15" customHeight="1" thickBot="1" x14ac:dyDescent="0.3">
      <c r="A23" s="185"/>
      <c r="B23" s="155"/>
      <c r="C23" s="183"/>
      <c r="D23" s="180"/>
      <c r="E23" s="183"/>
      <c r="F23" s="184"/>
      <c r="G23" s="180"/>
      <c r="H23" s="183"/>
      <c r="I23" s="184"/>
      <c r="J23" s="181"/>
    </row>
    <row r="24" spans="1:14" ht="15.75" customHeight="1" x14ac:dyDescent="0.25">
      <c r="A24" s="191" t="s">
        <v>50</v>
      </c>
      <c r="B24" s="152"/>
      <c r="C24" s="192" t="s">
        <v>26</v>
      </c>
      <c r="D24" s="152"/>
      <c r="E24" s="158" t="s">
        <v>27</v>
      </c>
      <c r="F24" s="151"/>
      <c r="G24" s="152"/>
      <c r="H24" s="192" t="s">
        <v>28</v>
      </c>
      <c r="I24" s="151"/>
      <c r="J24" s="178"/>
    </row>
    <row r="25" spans="1:14" ht="15.75" customHeight="1" thickBot="1" x14ac:dyDescent="0.3">
      <c r="A25" s="186"/>
      <c r="B25" s="180"/>
      <c r="C25" s="179" t="str">
        <f>'input data'!B20</f>
        <v>MUNDRA</v>
      </c>
      <c r="D25" s="180"/>
      <c r="E25" s="179" t="str">
        <f>'input data'!B21</f>
        <v>GUAYAQUIL</v>
      </c>
      <c r="F25" s="184"/>
      <c r="G25" s="180"/>
      <c r="H25" s="179" t="str">
        <f>'input data'!B22</f>
        <v>GUAYAQUIL</v>
      </c>
      <c r="I25" s="184"/>
      <c r="J25" s="181"/>
    </row>
    <row r="26" spans="1:14" ht="15.75" customHeight="1" x14ac:dyDescent="0.25">
      <c r="A26" s="148" t="s">
        <v>51</v>
      </c>
      <c r="B26" s="150" t="s">
        <v>52</v>
      </c>
      <c r="C26" s="151"/>
      <c r="D26" s="152"/>
      <c r="E26" s="156" t="s">
        <v>53</v>
      </c>
      <c r="F26" s="158" t="s">
        <v>54</v>
      </c>
      <c r="G26" s="152"/>
      <c r="H26" s="19" t="s">
        <v>32</v>
      </c>
      <c r="I26" s="158" t="s">
        <v>55</v>
      </c>
      <c r="J26" s="178"/>
    </row>
    <row r="27" spans="1:14" ht="15.75" customHeight="1" thickBot="1" x14ac:dyDescent="0.3">
      <c r="A27" s="149"/>
      <c r="B27" s="153"/>
      <c r="C27" s="154"/>
      <c r="D27" s="155"/>
      <c r="E27" s="157"/>
      <c r="F27" s="179" t="s">
        <v>56</v>
      </c>
      <c r="G27" s="180"/>
      <c r="H27" s="20" t="s">
        <v>56</v>
      </c>
      <c r="I27" s="179" t="s">
        <v>57</v>
      </c>
      <c r="J27" s="181"/>
    </row>
    <row r="28" spans="1:14" ht="15.75" customHeight="1" thickBot="1" x14ac:dyDescent="0.3">
      <c r="A28" s="77">
        <v>1</v>
      </c>
      <c r="B28" s="139" t="str">
        <f>'input data'!B26</f>
        <v>Polished Granite Slabs</v>
      </c>
      <c r="C28" s="140"/>
      <c r="D28" s="141"/>
      <c r="E28" s="21">
        <v>68022390</v>
      </c>
      <c r="F28" s="142">
        <f>'input data'!B27</f>
        <v>155.75</v>
      </c>
      <c r="G28" s="143"/>
      <c r="H28" s="47">
        <f>'input data'!B28</f>
        <v>16.2</v>
      </c>
      <c r="I28" s="144">
        <f>F28*H28</f>
        <v>2523.15</v>
      </c>
      <c r="J28" s="145"/>
    </row>
    <row r="29" spans="1:14" ht="15.75" customHeight="1" thickBot="1" x14ac:dyDescent="0.3">
      <c r="A29" s="77">
        <v>2</v>
      </c>
      <c r="B29" s="139" t="str">
        <f>'input data'!B29</f>
        <v>Polished Granite Slabs</v>
      </c>
      <c r="C29" s="140"/>
      <c r="D29" s="141"/>
      <c r="E29" s="62">
        <v>68022390</v>
      </c>
      <c r="F29" s="146">
        <f>'input data'!B30</f>
        <v>168</v>
      </c>
      <c r="G29" s="147"/>
      <c r="H29" s="47">
        <f>'input data'!B31</f>
        <v>14.9</v>
      </c>
      <c r="I29" s="144">
        <f t="shared" ref="I29:I30" si="0">F29*H29</f>
        <v>2503.2000000000003</v>
      </c>
      <c r="J29" s="145"/>
    </row>
    <row r="30" spans="1:14" ht="15.75" customHeight="1" thickBot="1" x14ac:dyDescent="0.3">
      <c r="A30" s="77">
        <v>3</v>
      </c>
      <c r="B30" s="139" t="str">
        <f>'input data'!B32</f>
        <v>Polished Granite Slabs</v>
      </c>
      <c r="C30" s="140"/>
      <c r="D30" s="140"/>
      <c r="E30" s="63">
        <v>68022390</v>
      </c>
      <c r="F30" s="142">
        <f>'input data'!B33</f>
        <v>159.25</v>
      </c>
      <c r="G30" s="143"/>
      <c r="H30" s="58">
        <f>'input data'!B34</f>
        <v>23.2</v>
      </c>
      <c r="I30" s="144">
        <f t="shared" si="0"/>
        <v>3694.6</v>
      </c>
      <c r="J30" s="145"/>
    </row>
    <row r="31" spans="1:14" ht="15.75" customHeight="1" x14ac:dyDescent="0.25">
      <c r="A31" s="76" t="s">
        <v>30</v>
      </c>
      <c r="B31" s="45"/>
      <c r="C31" s="45" t="s">
        <v>31</v>
      </c>
      <c r="D31" s="45" t="s">
        <v>58</v>
      </c>
      <c r="E31" s="45" t="s">
        <v>59</v>
      </c>
      <c r="F31" s="45"/>
      <c r="G31" s="45"/>
      <c r="H31" s="60"/>
      <c r="I31" s="53"/>
      <c r="J31" s="54"/>
    </row>
    <row r="32" spans="1:14" ht="15.75" customHeight="1" x14ac:dyDescent="0.25">
      <c r="A32" s="171" t="str">
        <f>UPPER('input data'!B24)</f>
        <v>MSDU1249256</v>
      </c>
      <c r="B32" s="154"/>
      <c r="C32" s="73">
        <f>'input data'!B25</f>
        <v>276</v>
      </c>
      <c r="D32" s="45" t="s">
        <v>60</v>
      </c>
      <c r="E32" s="45" t="s">
        <v>173</v>
      </c>
      <c r="F32" s="45"/>
      <c r="G32" s="45"/>
      <c r="H32" s="60"/>
      <c r="I32" s="45"/>
      <c r="J32" s="56"/>
    </row>
    <row r="33" spans="1:12" ht="15.75" customHeight="1" thickBot="1" x14ac:dyDescent="0.3">
      <c r="A33" s="76"/>
      <c r="B33" s="45"/>
      <c r="C33" s="45"/>
      <c r="D33" s="45"/>
      <c r="E33" s="45"/>
      <c r="F33" s="45"/>
      <c r="G33" s="45"/>
      <c r="H33" s="60"/>
      <c r="I33" s="51"/>
      <c r="J33" s="59"/>
    </row>
    <row r="34" spans="1:12" ht="15.75" customHeight="1" x14ac:dyDescent="0.25">
      <c r="A34" s="61" t="s">
        <v>61</v>
      </c>
      <c r="B34" s="53"/>
      <c r="C34" s="53"/>
      <c r="D34" s="53"/>
      <c r="E34" s="53"/>
      <c r="F34" s="53"/>
      <c r="G34" s="53"/>
      <c r="H34" s="54"/>
      <c r="I34" s="172">
        <f>SUM(I28:J33)</f>
        <v>8720.9500000000007</v>
      </c>
      <c r="J34" s="173"/>
    </row>
    <row r="35" spans="1:12" ht="15.75" customHeight="1" thickBot="1" x14ac:dyDescent="0.3">
      <c r="A35" s="175" t="s">
        <v>170</v>
      </c>
      <c r="B35" s="176"/>
      <c r="C35" s="176"/>
      <c r="D35" s="176"/>
      <c r="E35" s="176"/>
      <c r="F35" s="176"/>
      <c r="G35" s="176"/>
      <c r="H35" s="177"/>
      <c r="I35" s="174"/>
      <c r="J35" s="173"/>
    </row>
    <row r="36" spans="1:12" s="98" customFormat="1" ht="15.75" customHeight="1" x14ac:dyDescent="0.25">
      <c r="A36" s="130" t="s">
        <v>152</v>
      </c>
      <c r="B36" s="131"/>
      <c r="C36" s="131"/>
      <c r="D36" s="131"/>
      <c r="E36" s="131"/>
      <c r="F36" s="131"/>
      <c r="G36" s="131"/>
      <c r="H36" s="131"/>
      <c r="I36" s="131"/>
      <c r="J36" s="132"/>
    </row>
    <row r="37" spans="1:12" s="98" customFormat="1" ht="15.75" customHeight="1" x14ac:dyDescent="0.25">
      <c r="A37" s="106" t="s">
        <v>145</v>
      </c>
      <c r="B37" s="99"/>
      <c r="C37" s="99"/>
      <c r="D37" s="99"/>
      <c r="E37" s="99" t="s">
        <v>148</v>
      </c>
      <c r="F37" s="102"/>
      <c r="G37" s="102"/>
      <c r="H37" s="102"/>
      <c r="I37" s="102"/>
      <c r="J37" s="103"/>
    </row>
    <row r="38" spans="1:12" s="98" customFormat="1" ht="15.75" customHeight="1" x14ac:dyDescent="0.25">
      <c r="A38" s="106" t="s">
        <v>146</v>
      </c>
      <c r="B38" s="102"/>
      <c r="C38" s="102"/>
      <c r="D38" s="102"/>
      <c r="E38" s="99" t="s">
        <v>149</v>
      </c>
      <c r="F38" s="102"/>
      <c r="G38" s="102"/>
      <c r="H38" s="102"/>
      <c r="I38" s="102"/>
      <c r="J38" s="103"/>
    </row>
    <row r="39" spans="1:12" s="98" customFormat="1" ht="15.75" customHeight="1" thickBot="1" x14ac:dyDescent="0.3">
      <c r="A39" s="107" t="s">
        <v>147</v>
      </c>
      <c r="B39" s="108"/>
      <c r="C39" s="108"/>
      <c r="D39" s="108"/>
      <c r="E39" s="109" t="s">
        <v>150</v>
      </c>
      <c r="F39" s="108"/>
      <c r="G39" s="108"/>
      <c r="H39" s="108"/>
      <c r="I39" s="108"/>
      <c r="J39" s="110"/>
    </row>
    <row r="40" spans="1:12" ht="15.75" customHeight="1" thickBot="1" x14ac:dyDescent="0.3">
      <c r="A40" s="133" t="s">
        <v>62</v>
      </c>
      <c r="B40" s="134"/>
      <c r="C40" s="134"/>
      <c r="D40" s="135"/>
      <c r="E40" s="136" t="s">
        <v>106</v>
      </c>
      <c r="F40" s="137"/>
      <c r="G40" s="137"/>
      <c r="H40" s="137"/>
      <c r="I40" s="137"/>
      <c r="J40" s="138"/>
      <c r="L40" s="98"/>
    </row>
    <row r="41" spans="1:12" ht="19.5" customHeight="1" x14ac:dyDescent="0.25">
      <c r="A41" s="159" t="s">
        <v>63</v>
      </c>
      <c r="B41" s="160"/>
      <c r="C41" s="160"/>
      <c r="D41" s="161"/>
      <c r="E41" s="52" t="s">
        <v>107</v>
      </c>
      <c r="F41" s="53"/>
      <c r="G41" s="53"/>
      <c r="H41" s="53"/>
      <c r="I41" s="53"/>
      <c r="J41" s="54"/>
      <c r="L41" s="98"/>
    </row>
    <row r="42" spans="1:12" ht="19.5" customHeight="1" x14ac:dyDescent="0.25">
      <c r="A42" s="162"/>
      <c r="B42" s="163"/>
      <c r="C42" s="163"/>
      <c r="D42" s="164"/>
      <c r="E42" s="55"/>
      <c r="F42" s="45"/>
      <c r="G42" s="45"/>
      <c r="H42" s="45"/>
      <c r="I42" s="45"/>
      <c r="J42" s="56"/>
    </row>
    <row r="43" spans="1:12" ht="15.75" customHeight="1" x14ac:dyDescent="0.25">
      <c r="A43" s="165" t="s">
        <v>64</v>
      </c>
      <c r="B43" s="166"/>
      <c r="C43" s="166"/>
      <c r="D43" s="167"/>
      <c r="E43" s="55"/>
      <c r="F43" s="45"/>
      <c r="G43" s="45"/>
      <c r="H43" s="45"/>
      <c r="I43" s="45"/>
      <c r="J43" s="56"/>
    </row>
    <row r="44" spans="1:12" ht="18.75" customHeight="1" thickBot="1" x14ac:dyDescent="0.3">
      <c r="A44" s="168"/>
      <c r="B44" s="169"/>
      <c r="C44" s="169"/>
      <c r="D44" s="170"/>
      <c r="E44" s="78" t="s">
        <v>65</v>
      </c>
      <c r="F44" s="51"/>
      <c r="G44" s="51"/>
      <c r="H44" s="51"/>
      <c r="I44" s="51"/>
      <c r="J44" s="59"/>
    </row>
    <row r="45" spans="1:12" ht="15.75" customHeight="1" x14ac:dyDescent="0.25"/>
    <row r="46" spans="1:12" ht="15.75" customHeight="1" x14ac:dyDescent="0.25"/>
    <row r="47" spans="1:12" ht="15.75" customHeight="1" x14ac:dyDescent="0.25"/>
    <row r="48" spans="1:1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66">
    <mergeCell ref="A1:J2"/>
    <mergeCell ref="E3:G3"/>
    <mergeCell ref="H3:J3"/>
    <mergeCell ref="E4:G4"/>
    <mergeCell ref="H4:J4"/>
    <mergeCell ref="E5:G5"/>
    <mergeCell ref="H5:J5"/>
    <mergeCell ref="E6:G6"/>
    <mergeCell ref="H6:J6"/>
    <mergeCell ref="E10:G10"/>
    <mergeCell ref="H10:J10"/>
    <mergeCell ref="E7:G7"/>
    <mergeCell ref="H7:J7"/>
    <mergeCell ref="E8:G8"/>
    <mergeCell ref="H8:J8"/>
    <mergeCell ref="E9:G9"/>
    <mergeCell ref="H9:J9"/>
    <mergeCell ref="E11:G11"/>
    <mergeCell ref="H11:J11"/>
    <mergeCell ref="A24:B24"/>
    <mergeCell ref="C24:D24"/>
    <mergeCell ref="E24:G24"/>
    <mergeCell ref="H24:J24"/>
    <mergeCell ref="A15:D20"/>
    <mergeCell ref="A21:B21"/>
    <mergeCell ref="C21:D21"/>
    <mergeCell ref="E21:G21"/>
    <mergeCell ref="H21:J21"/>
    <mergeCell ref="A22:B22"/>
    <mergeCell ref="C22:D23"/>
    <mergeCell ref="E22:G23"/>
    <mergeCell ref="E12:G13"/>
    <mergeCell ref="H12:J13"/>
    <mergeCell ref="I26:J26"/>
    <mergeCell ref="F27:G27"/>
    <mergeCell ref="I27:J27"/>
    <mergeCell ref="H22:J23"/>
    <mergeCell ref="A23:B23"/>
    <mergeCell ref="A25:B25"/>
    <mergeCell ref="C25:D25"/>
    <mergeCell ref="E25:G25"/>
    <mergeCell ref="H25:J25"/>
    <mergeCell ref="A41:D42"/>
    <mergeCell ref="A43:D44"/>
    <mergeCell ref="B30:D30"/>
    <mergeCell ref="F30:G30"/>
    <mergeCell ref="I30:J30"/>
    <mergeCell ref="A32:B32"/>
    <mergeCell ref="I34:J35"/>
    <mergeCell ref="A35:H35"/>
    <mergeCell ref="E14:J14"/>
    <mergeCell ref="E15:J20"/>
    <mergeCell ref="A5:D13"/>
    <mergeCell ref="A36:J36"/>
    <mergeCell ref="A40:D40"/>
    <mergeCell ref="E40:J40"/>
    <mergeCell ref="B28:D28"/>
    <mergeCell ref="F28:G28"/>
    <mergeCell ref="I28:J28"/>
    <mergeCell ref="B29:D29"/>
    <mergeCell ref="F29:G29"/>
    <mergeCell ref="I29:J29"/>
    <mergeCell ref="A26:A27"/>
    <mergeCell ref="B26:D27"/>
    <mergeCell ref="E26:E27"/>
    <mergeCell ref="F26:G26"/>
  </mergeCells>
  <conditionalFormatting sqref="A35:A36">
    <cfRule type="containsBlanks" dxfId="0" priority="1">
      <formula>LEN(TRIM(A35))=0</formula>
    </cfRule>
  </conditionalFormatting>
  <pageMargins left="0.7" right="0.7" top="0.75" bottom="0.75" header="0.3" footer="0.3"/>
  <pageSetup scale="9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94"/>
  <sheetViews>
    <sheetView showGridLines="0" workbookViewId="0">
      <selection activeCell="K32" sqref="K32"/>
    </sheetView>
  </sheetViews>
  <sheetFormatPr defaultColWidth="14.42578125" defaultRowHeight="15" customHeight="1" x14ac:dyDescent="0.25"/>
  <cols>
    <col min="1" max="2" width="8.7109375" customWidth="1"/>
    <col min="3" max="3" width="7.140625" customWidth="1"/>
    <col min="4" max="4" width="8.7109375" customWidth="1"/>
    <col min="5" max="5" width="7" customWidth="1"/>
    <col min="6" max="6" width="10" customWidth="1"/>
    <col min="7" max="7" width="8.7109375" customWidth="1"/>
    <col min="8" max="8" width="12.85546875" customWidth="1"/>
    <col min="9" max="9" width="8.7109375" customWidth="1"/>
    <col min="10" max="10" width="15.42578125" customWidth="1"/>
    <col min="11" max="26" width="8.7109375" customWidth="1"/>
  </cols>
  <sheetData>
    <row r="1" spans="1:10" ht="21" x14ac:dyDescent="0.35">
      <c r="A1" s="276" t="s">
        <v>66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x14ac:dyDescent="0.25">
      <c r="A2" s="277" t="s">
        <v>67</v>
      </c>
      <c r="B2" s="188"/>
      <c r="C2" s="188"/>
      <c r="D2" s="188"/>
      <c r="E2" s="188"/>
      <c r="F2" s="216"/>
      <c r="G2" s="215" t="s">
        <v>35</v>
      </c>
      <c r="H2" s="216"/>
      <c r="I2" s="278" t="s">
        <v>36</v>
      </c>
      <c r="J2" s="189"/>
    </row>
    <row r="3" spans="1:10" ht="16.5" thickBot="1" x14ac:dyDescent="0.3">
      <c r="A3" s="279" t="s">
        <v>105</v>
      </c>
      <c r="B3" s="154"/>
      <c r="C3" s="154"/>
      <c r="D3" s="154"/>
      <c r="E3" s="154"/>
      <c r="F3" s="155"/>
      <c r="G3" s="217" t="str">
        <f>'input data'!B3</f>
        <v>BK002/25-26</v>
      </c>
      <c r="H3" s="180"/>
      <c r="I3" s="218">
        <f>'input data'!B4</f>
        <v>45945</v>
      </c>
      <c r="J3" s="220"/>
    </row>
    <row r="4" spans="1:10" x14ac:dyDescent="0.25">
      <c r="A4" s="193" t="s">
        <v>154</v>
      </c>
      <c r="B4" s="254"/>
      <c r="C4" s="254"/>
      <c r="D4" s="254"/>
      <c r="E4" s="254"/>
      <c r="F4" s="255"/>
      <c r="G4" s="259" t="s">
        <v>37</v>
      </c>
      <c r="H4" s="151"/>
      <c r="I4" s="151"/>
      <c r="J4" s="178"/>
    </row>
    <row r="5" spans="1:10" ht="15.75" thickBot="1" x14ac:dyDescent="0.3">
      <c r="A5" s="193"/>
      <c r="B5" s="254"/>
      <c r="C5" s="254"/>
      <c r="D5" s="254"/>
      <c r="E5" s="254"/>
      <c r="F5" s="255"/>
      <c r="G5" s="179" t="str">
        <f>'input data'!B6</f>
        <v>AD240725023182F</v>
      </c>
      <c r="H5" s="184"/>
      <c r="I5" s="184"/>
      <c r="J5" s="181"/>
    </row>
    <row r="6" spans="1:10" ht="15.75" thickBot="1" x14ac:dyDescent="0.3">
      <c r="A6" s="193"/>
      <c r="B6" s="254"/>
      <c r="C6" s="254"/>
      <c r="D6" s="254"/>
      <c r="E6" s="254"/>
      <c r="F6" s="255"/>
      <c r="G6" s="80"/>
      <c r="H6" s="81"/>
      <c r="I6" s="81"/>
      <c r="J6" s="82"/>
    </row>
    <row r="7" spans="1:10" x14ac:dyDescent="0.25">
      <c r="A7" s="193"/>
      <c r="B7" s="254"/>
      <c r="C7" s="254"/>
      <c r="D7" s="254"/>
      <c r="E7" s="254"/>
      <c r="F7" s="255"/>
      <c r="G7" s="25" t="s">
        <v>68</v>
      </c>
      <c r="H7" s="15"/>
      <c r="I7" s="15"/>
      <c r="J7" s="83"/>
    </row>
    <row r="8" spans="1:10" ht="15.75" x14ac:dyDescent="0.25">
      <c r="A8" s="193"/>
      <c r="B8" s="254"/>
      <c r="C8" s="254"/>
      <c r="D8" s="254"/>
      <c r="E8" s="254"/>
      <c r="F8" s="255"/>
      <c r="G8" s="84" t="s">
        <v>109</v>
      </c>
      <c r="H8" s="85"/>
      <c r="I8" s="85"/>
      <c r="J8" s="86"/>
    </row>
    <row r="9" spans="1:10" ht="15.75" x14ac:dyDescent="0.25">
      <c r="A9" s="193"/>
      <c r="B9" s="254"/>
      <c r="C9" s="254"/>
      <c r="D9" s="254"/>
      <c r="E9" s="254"/>
      <c r="F9" s="255"/>
      <c r="G9" s="84" t="s">
        <v>129</v>
      </c>
      <c r="H9" s="85"/>
      <c r="I9" s="85"/>
      <c r="J9" s="86"/>
    </row>
    <row r="10" spans="1:10" ht="15.75" thickBot="1" x14ac:dyDescent="0.3">
      <c r="A10" s="256"/>
      <c r="B10" s="257"/>
      <c r="C10" s="257"/>
      <c r="D10" s="257"/>
      <c r="E10" s="257"/>
      <c r="F10" s="258"/>
      <c r="G10" s="55"/>
      <c r="H10" s="45"/>
      <c r="I10" s="45"/>
      <c r="J10" s="56"/>
    </row>
    <row r="11" spans="1:10" x14ac:dyDescent="0.25">
      <c r="A11" s="260" t="s">
        <v>42</v>
      </c>
      <c r="B11" s="151"/>
      <c r="C11" s="151"/>
      <c r="D11" s="151"/>
      <c r="E11" s="151"/>
      <c r="F11" s="15"/>
      <c r="G11" s="104" t="s">
        <v>45</v>
      </c>
      <c r="H11" s="53"/>
      <c r="I11" s="53"/>
      <c r="J11" s="54"/>
    </row>
    <row r="12" spans="1:10" ht="15" customHeight="1" x14ac:dyDescent="0.25">
      <c r="A12" s="236" t="str">
        <f>'input data'!B7</f>
        <v>ZHIÑIN MENDIETA ROSA LOURDES
RUC: 0105370399001
DIRECCIÓN: Barrio: HUISHIL ALTO Calle: 1 DE SEPTIEMBRE
Número: S/N Intersección: BUENA ESPERANZA
Referencia: DIAGONAL A LA HOSTERIA CABALLO CAMPANA
Cuenca - Ecuador</v>
      </c>
      <c r="B12" s="237"/>
      <c r="C12" s="237"/>
      <c r="D12" s="237"/>
      <c r="E12" s="237"/>
      <c r="F12" s="237"/>
      <c r="G12" s="236" t="str">
        <f>'input data'!B8</f>
        <v>DAPSE EXPRESS INTERNATIONAL LOGISTICS AND TRADE 
RUC 172011272001
operaciones@dapseexpress.com
Teléfono: 0987681580
QUITO-ECUADOR</v>
      </c>
      <c r="H12" s="237"/>
      <c r="I12" s="237"/>
      <c r="J12" s="238"/>
    </row>
    <row r="13" spans="1:10" ht="108.75" customHeight="1" thickBot="1" x14ac:dyDescent="0.3">
      <c r="A13" s="242"/>
      <c r="B13" s="243"/>
      <c r="C13" s="243"/>
      <c r="D13" s="237"/>
      <c r="E13" s="237"/>
      <c r="F13" s="237"/>
      <c r="G13" s="239"/>
      <c r="H13" s="240"/>
      <c r="I13" s="240"/>
      <c r="J13" s="241"/>
    </row>
    <row r="14" spans="1:10" ht="22.5" customHeight="1" x14ac:dyDescent="0.25">
      <c r="A14" s="244" t="s">
        <v>71</v>
      </c>
      <c r="B14" s="245"/>
      <c r="C14" s="245"/>
      <c r="D14" s="226" t="s">
        <v>72</v>
      </c>
      <c r="E14" s="247"/>
      <c r="F14" s="248"/>
      <c r="G14" s="226" t="s">
        <v>69</v>
      </c>
      <c r="H14" s="227"/>
      <c r="I14" s="228" t="s">
        <v>70</v>
      </c>
      <c r="J14" s="229"/>
    </row>
    <row r="15" spans="1:10" ht="15" customHeight="1" thickBot="1" x14ac:dyDescent="0.3">
      <c r="A15" s="186"/>
      <c r="B15" s="246"/>
      <c r="C15" s="246"/>
      <c r="D15" s="249" t="str">
        <f>'input data'!B19</f>
        <v>MUNDRA</v>
      </c>
      <c r="E15" s="250"/>
      <c r="F15" s="251"/>
      <c r="G15" s="230" t="s">
        <v>49</v>
      </c>
      <c r="H15" s="231"/>
      <c r="I15" s="232" t="str">
        <f>'input data'!B23</f>
        <v>ECUADOR</v>
      </c>
      <c r="J15" s="233"/>
    </row>
    <row r="16" spans="1:10" ht="16.5" customHeight="1" x14ac:dyDescent="0.25">
      <c r="A16" s="244" t="s">
        <v>73</v>
      </c>
      <c r="B16" s="245"/>
      <c r="C16" s="245"/>
      <c r="D16" s="252" t="s">
        <v>74</v>
      </c>
      <c r="E16" s="253"/>
      <c r="F16" s="253"/>
      <c r="G16" s="234" t="s">
        <v>156</v>
      </c>
      <c r="H16" s="235"/>
      <c r="I16" s="235"/>
      <c r="J16" s="229"/>
    </row>
    <row r="17" spans="1:10" ht="15.75" customHeight="1" thickBot="1" x14ac:dyDescent="0.3">
      <c r="A17" s="171"/>
      <c r="B17" s="174"/>
      <c r="C17" s="174"/>
      <c r="D17" s="185" t="str">
        <f>'input data'!B19</f>
        <v>MUNDRA</v>
      </c>
      <c r="E17" s="261"/>
      <c r="F17" s="261"/>
      <c r="G17" s="185" t="str">
        <f>'input data'!B17</f>
        <v>FOB</v>
      </c>
      <c r="H17" s="261"/>
      <c r="I17" s="261"/>
      <c r="J17" s="262"/>
    </row>
    <row r="18" spans="1:10" ht="15.75" customHeight="1" x14ac:dyDescent="0.25">
      <c r="A18" s="263" t="s">
        <v>27</v>
      </c>
      <c r="B18" s="264"/>
      <c r="C18" s="264"/>
      <c r="D18" s="263" t="s">
        <v>28</v>
      </c>
      <c r="E18" s="264"/>
      <c r="F18" s="265"/>
      <c r="G18" s="247" t="s">
        <v>75</v>
      </c>
      <c r="H18" s="247"/>
      <c r="I18" s="247"/>
      <c r="J18" s="248"/>
    </row>
    <row r="19" spans="1:10" ht="15.75" customHeight="1" x14ac:dyDescent="0.25">
      <c r="A19" s="266" t="str">
        <f>'input data'!B21</f>
        <v>GUAYAQUIL</v>
      </c>
      <c r="B19" s="267"/>
      <c r="C19" s="267"/>
      <c r="D19" s="266" t="str">
        <f>'input data'!B22</f>
        <v>GUAYAQUIL</v>
      </c>
      <c r="E19" s="267"/>
      <c r="F19" s="270"/>
      <c r="G19" s="272" t="str">
        <f>'input data'!B18</f>
        <v>30% Advance and Remaining Against BL within 7 days</v>
      </c>
      <c r="H19" s="272"/>
      <c r="I19" s="272"/>
      <c r="J19" s="273"/>
    </row>
    <row r="20" spans="1:10" ht="15.75" customHeight="1" thickBot="1" x14ac:dyDescent="0.3">
      <c r="A20" s="268"/>
      <c r="B20" s="269"/>
      <c r="C20" s="269"/>
      <c r="D20" s="268"/>
      <c r="E20" s="269"/>
      <c r="F20" s="271"/>
      <c r="G20" s="274"/>
      <c r="H20" s="274"/>
      <c r="I20" s="274"/>
      <c r="J20" s="275"/>
    </row>
    <row r="21" spans="1:10" ht="15.75" customHeight="1" thickBot="1" x14ac:dyDescent="0.3">
      <c r="A21" s="105"/>
      <c r="B21" s="46"/>
      <c r="C21" s="46"/>
      <c r="D21" s="46"/>
      <c r="E21" s="46"/>
      <c r="F21" s="46"/>
      <c r="G21" s="29"/>
      <c r="H21" s="29"/>
      <c r="I21" s="29"/>
      <c r="J21" s="87"/>
    </row>
    <row r="22" spans="1:10" ht="15.75" customHeight="1" thickBot="1" x14ac:dyDescent="0.3">
      <c r="A22" s="88" t="s">
        <v>51</v>
      </c>
      <c r="B22" s="179" t="s">
        <v>76</v>
      </c>
      <c r="C22" s="180"/>
      <c r="D22" s="179" t="s">
        <v>52</v>
      </c>
      <c r="E22" s="184"/>
      <c r="F22" s="184"/>
      <c r="G22" s="89"/>
      <c r="H22" s="90"/>
      <c r="I22" s="179" t="s">
        <v>56</v>
      </c>
      <c r="J22" s="181"/>
    </row>
    <row r="23" spans="1:10" ht="15.75" customHeight="1" thickBot="1" x14ac:dyDescent="0.3">
      <c r="A23" s="77">
        <v>1</v>
      </c>
      <c r="B23" s="221">
        <f>'Invoice rockstone'!E28</f>
        <v>68022390</v>
      </c>
      <c r="C23" s="222"/>
      <c r="D23" s="139" t="str">
        <f>'Invoice rockstone'!B28</f>
        <v>Polished Granite Slabs</v>
      </c>
      <c r="E23" s="223"/>
      <c r="F23" s="223"/>
      <c r="G23" s="223"/>
      <c r="H23" s="222"/>
      <c r="I23" s="224">
        <f>'Invoice rockstone'!F28</f>
        <v>155.75</v>
      </c>
      <c r="J23" s="145"/>
    </row>
    <row r="24" spans="1:10" s="57" customFormat="1" ht="15.75" customHeight="1" thickBot="1" x14ac:dyDescent="0.3">
      <c r="A24" s="77">
        <v>2</v>
      </c>
      <c r="B24" s="221">
        <f>'Invoice rockstone'!E29</f>
        <v>68022390</v>
      </c>
      <c r="C24" s="222"/>
      <c r="D24" s="139" t="str">
        <f>'Invoice rockstone'!B29</f>
        <v>Polished Granite Slabs</v>
      </c>
      <c r="E24" s="223"/>
      <c r="F24" s="223"/>
      <c r="G24" s="223"/>
      <c r="H24" s="222"/>
      <c r="I24" s="224">
        <f>'Invoice rockstone'!F29</f>
        <v>168</v>
      </c>
      <c r="J24" s="145"/>
    </row>
    <row r="25" spans="1:10" s="57" customFormat="1" ht="15.75" customHeight="1" thickBot="1" x14ac:dyDescent="0.3">
      <c r="A25" s="77">
        <v>3</v>
      </c>
      <c r="B25" s="221">
        <f>'Invoice rockstone'!E30</f>
        <v>68022390</v>
      </c>
      <c r="C25" s="222"/>
      <c r="D25" s="139" t="str">
        <f>'Invoice rockstone'!B30</f>
        <v>Polished Granite Slabs</v>
      </c>
      <c r="E25" s="223"/>
      <c r="F25" s="223"/>
      <c r="G25" s="223"/>
      <c r="H25" s="222"/>
      <c r="I25" s="224">
        <f>'Invoice rockstone'!F30</f>
        <v>159.25</v>
      </c>
      <c r="J25" s="145"/>
    </row>
    <row r="26" spans="1:10" ht="15.75" customHeight="1" thickBot="1" x14ac:dyDescent="0.3">
      <c r="A26" s="91" t="s">
        <v>77</v>
      </c>
      <c r="B26" s="29"/>
      <c r="C26" s="29"/>
      <c r="D26" s="29"/>
      <c r="E26" s="29"/>
      <c r="F26" s="29"/>
      <c r="G26" s="29"/>
      <c r="H26" s="29"/>
      <c r="I26" s="225">
        <f>SUM(I23:J25)</f>
        <v>483</v>
      </c>
      <c r="J26" s="145"/>
    </row>
    <row r="27" spans="1:10" ht="15.75" customHeight="1" x14ac:dyDescent="0.25">
      <c r="A27" s="50"/>
      <c r="B27" s="45"/>
      <c r="C27" s="45"/>
      <c r="D27" s="45"/>
      <c r="E27" s="45"/>
      <c r="F27" s="45"/>
      <c r="G27" s="45"/>
      <c r="H27" s="45"/>
      <c r="I27" s="81"/>
      <c r="J27" s="82"/>
    </row>
    <row r="28" spans="1:10" ht="15.75" customHeight="1" x14ac:dyDescent="0.25">
      <c r="A28" s="185" t="s">
        <v>78</v>
      </c>
      <c r="B28" s="154"/>
      <c r="C28" s="81" t="s">
        <v>31</v>
      </c>
      <c r="D28" s="261" t="s">
        <v>58</v>
      </c>
      <c r="E28" s="154"/>
      <c r="F28" s="81" t="s">
        <v>59</v>
      </c>
      <c r="G28" s="81"/>
      <c r="H28" s="45"/>
      <c r="I28" s="81"/>
      <c r="J28" s="82"/>
    </row>
    <row r="29" spans="1:10" ht="15.75" customHeight="1" x14ac:dyDescent="0.25">
      <c r="A29" s="171" t="str">
        <f>UPPER('input data'!B24)</f>
        <v>MSDU1249256</v>
      </c>
      <c r="B29" s="154"/>
      <c r="C29" s="74">
        <f>'input data'!B25</f>
        <v>276</v>
      </c>
      <c r="D29" s="283" t="s">
        <v>79</v>
      </c>
      <c r="E29" s="154"/>
      <c r="F29" s="74" t="s">
        <v>174</v>
      </c>
      <c r="G29" s="74"/>
      <c r="H29" s="45"/>
      <c r="I29" s="45"/>
      <c r="J29" s="56"/>
    </row>
    <row r="30" spans="1:10" ht="15.75" customHeight="1" x14ac:dyDescent="0.25">
      <c r="A30" s="92"/>
      <c r="B30" s="93"/>
      <c r="C30" s="93"/>
      <c r="D30" s="93"/>
      <c r="E30" s="93"/>
      <c r="F30" s="93"/>
      <c r="G30" s="93"/>
      <c r="H30" s="93"/>
      <c r="I30" s="93"/>
      <c r="J30" s="94"/>
    </row>
    <row r="31" spans="1:10" ht="15.75" customHeight="1" x14ac:dyDescent="0.25">
      <c r="A31" s="92" t="s">
        <v>80</v>
      </c>
      <c r="B31" s="93"/>
      <c r="C31" s="93" t="str">
        <f>'input data'!B15</f>
        <v>Wooden Crate Packing</v>
      </c>
      <c r="D31" s="93"/>
      <c r="E31" s="93"/>
      <c r="F31" s="93"/>
      <c r="G31" s="93"/>
      <c r="H31" s="93"/>
      <c r="I31" s="93"/>
      <c r="J31" s="94"/>
    </row>
    <row r="32" spans="1:10" ht="15.75" customHeight="1" x14ac:dyDescent="0.25">
      <c r="A32" s="92" t="s">
        <v>81</v>
      </c>
      <c r="B32" s="93"/>
      <c r="C32" s="93"/>
      <c r="D32" s="93"/>
      <c r="E32" s="93"/>
      <c r="F32" s="93"/>
      <c r="G32" s="93"/>
      <c r="H32" s="93"/>
      <c r="I32" s="93"/>
      <c r="J32" s="94"/>
    </row>
    <row r="33" spans="1:10" ht="15.75" customHeight="1" x14ac:dyDescent="0.25">
      <c r="A33" s="95"/>
      <c r="B33" s="96"/>
      <c r="C33" s="96"/>
      <c r="D33" s="96"/>
      <c r="E33" s="96"/>
      <c r="F33" s="96"/>
      <c r="G33" s="96"/>
      <c r="H33" s="96"/>
      <c r="I33" s="96"/>
      <c r="J33" s="97"/>
    </row>
    <row r="34" spans="1:10" ht="15.75" customHeight="1" x14ac:dyDescent="0.25">
      <c r="A34" s="284" t="s">
        <v>82</v>
      </c>
      <c r="B34" s="151"/>
      <c r="C34" s="151"/>
      <c r="D34" s="151"/>
      <c r="E34" s="151"/>
      <c r="F34" s="152"/>
      <c r="G34" s="285" t="s">
        <v>106</v>
      </c>
      <c r="H34" s="151"/>
      <c r="I34" s="151"/>
      <c r="J34" s="178"/>
    </row>
    <row r="35" spans="1:10" ht="15.75" customHeight="1" x14ac:dyDescent="0.25">
      <c r="A35" s="165" t="s">
        <v>155</v>
      </c>
      <c r="B35" s="166"/>
      <c r="C35" s="166"/>
      <c r="D35" s="166"/>
      <c r="E35" s="166"/>
      <c r="F35" s="167"/>
      <c r="G35" s="55"/>
      <c r="H35" s="45"/>
      <c r="I35" s="45"/>
      <c r="J35" s="56"/>
    </row>
    <row r="36" spans="1:10" ht="15.75" customHeight="1" x14ac:dyDescent="0.25">
      <c r="A36" s="165"/>
      <c r="B36" s="166"/>
      <c r="C36" s="166"/>
      <c r="D36" s="166"/>
      <c r="E36" s="166"/>
      <c r="F36" s="167"/>
      <c r="G36" s="55"/>
      <c r="H36" s="45"/>
      <c r="I36" s="45"/>
      <c r="J36" s="56"/>
    </row>
    <row r="37" spans="1:10" ht="15.75" customHeight="1" thickBot="1" x14ac:dyDescent="0.3">
      <c r="A37" s="280" t="s">
        <v>83</v>
      </c>
      <c r="B37" s="202"/>
      <c r="C37" s="202"/>
      <c r="D37" s="202"/>
      <c r="E37" s="202"/>
      <c r="F37" s="281"/>
      <c r="G37" s="282" t="s">
        <v>84</v>
      </c>
      <c r="H37" s="202"/>
      <c r="I37" s="202"/>
      <c r="J37" s="203"/>
    </row>
    <row r="38" spans="1:10" ht="15.75" customHeight="1" x14ac:dyDescent="0.25"/>
    <row r="39" spans="1:10" ht="15.75" customHeight="1" x14ac:dyDescent="0.25"/>
    <row r="40" spans="1:10" ht="15.75" customHeight="1" x14ac:dyDescent="0.25"/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mergeCells count="55">
    <mergeCell ref="A37:F37"/>
    <mergeCell ref="G37:J37"/>
    <mergeCell ref="A28:B28"/>
    <mergeCell ref="D28:E28"/>
    <mergeCell ref="A29:B29"/>
    <mergeCell ref="D29:E29"/>
    <mergeCell ref="A34:F34"/>
    <mergeCell ref="G34:J34"/>
    <mergeCell ref="A35:F36"/>
    <mergeCell ref="A1:J1"/>
    <mergeCell ref="A2:F2"/>
    <mergeCell ref="G2:H2"/>
    <mergeCell ref="I2:J2"/>
    <mergeCell ref="A3:F3"/>
    <mergeCell ref="G3:H3"/>
    <mergeCell ref="I3:J3"/>
    <mergeCell ref="A4:F10"/>
    <mergeCell ref="G4:J4"/>
    <mergeCell ref="B22:C22"/>
    <mergeCell ref="D22:F22"/>
    <mergeCell ref="I22:J22"/>
    <mergeCell ref="G5:J5"/>
    <mergeCell ref="A11:E11"/>
    <mergeCell ref="A17:C17"/>
    <mergeCell ref="D17:F17"/>
    <mergeCell ref="G17:J17"/>
    <mergeCell ref="A18:C18"/>
    <mergeCell ref="D18:F18"/>
    <mergeCell ref="G18:J18"/>
    <mergeCell ref="A19:C20"/>
    <mergeCell ref="D19:F20"/>
    <mergeCell ref="G19:J20"/>
    <mergeCell ref="G12:J13"/>
    <mergeCell ref="A12:F13"/>
    <mergeCell ref="A14:C14"/>
    <mergeCell ref="A15:C15"/>
    <mergeCell ref="A16:C16"/>
    <mergeCell ref="D14:F14"/>
    <mergeCell ref="D15:F15"/>
    <mergeCell ref="D16:F16"/>
    <mergeCell ref="B23:C23"/>
    <mergeCell ref="D23:H23"/>
    <mergeCell ref="I23:J23"/>
    <mergeCell ref="I26:J26"/>
    <mergeCell ref="G14:H14"/>
    <mergeCell ref="I14:J14"/>
    <mergeCell ref="G15:H15"/>
    <mergeCell ref="I15:J15"/>
    <mergeCell ref="G16:J16"/>
    <mergeCell ref="B24:C24"/>
    <mergeCell ref="D24:H24"/>
    <mergeCell ref="I24:J24"/>
    <mergeCell ref="B25:C25"/>
    <mergeCell ref="D25:H25"/>
    <mergeCell ref="I25:J25"/>
  </mergeCells>
  <pageMargins left="0.25" right="0.25" top="0.75" bottom="0.75" header="0" footer="0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98"/>
  <sheetViews>
    <sheetView zoomScaleNormal="100" workbookViewId="0">
      <selection activeCell="N31" sqref="N31"/>
    </sheetView>
  </sheetViews>
  <sheetFormatPr defaultColWidth="14.42578125" defaultRowHeight="15" customHeight="1" x14ac:dyDescent="0.25"/>
  <cols>
    <col min="1" max="2" width="8.7109375" customWidth="1"/>
    <col min="3" max="3" width="18.85546875" bestFit="1" customWidth="1"/>
    <col min="4" max="16" width="8.7109375" customWidth="1"/>
    <col min="17" max="17" width="17.42578125" customWidth="1"/>
    <col min="18" max="27" width="8.7109375" customWidth="1"/>
  </cols>
  <sheetData>
    <row r="1" spans="1:25" ht="36" x14ac:dyDescent="0.55000000000000004">
      <c r="A1" s="32"/>
      <c r="B1" s="300" t="s">
        <v>105</v>
      </c>
      <c r="C1" s="301"/>
      <c r="D1" s="301"/>
      <c r="E1" s="301"/>
      <c r="F1" s="301"/>
      <c r="G1" s="301"/>
      <c r="H1" s="301"/>
      <c r="I1" s="301"/>
      <c r="J1" s="301"/>
      <c r="K1" s="302"/>
      <c r="R1" s="306"/>
      <c r="S1" s="116"/>
      <c r="T1" s="116"/>
      <c r="U1" s="116"/>
      <c r="V1" s="116"/>
      <c r="W1" s="292"/>
      <c r="X1" s="116"/>
      <c r="Y1" s="116"/>
    </row>
    <row r="2" spans="1:25" ht="36.75" thickBot="1" x14ac:dyDescent="0.6">
      <c r="A2" s="32"/>
      <c r="B2" s="303"/>
      <c r="C2" s="304"/>
      <c r="D2" s="304"/>
      <c r="E2" s="304"/>
      <c r="F2" s="304"/>
      <c r="G2" s="304"/>
      <c r="H2" s="304"/>
      <c r="I2" s="304"/>
      <c r="J2" s="304"/>
      <c r="K2" s="305"/>
    </row>
    <row r="3" spans="1:25" x14ac:dyDescent="0.25">
      <c r="A3" s="33"/>
      <c r="B3" s="293" t="s">
        <v>123</v>
      </c>
      <c r="C3" s="151"/>
      <c r="D3" s="151"/>
      <c r="E3" s="151"/>
      <c r="F3" s="151"/>
      <c r="G3" s="151"/>
      <c r="H3" s="151"/>
      <c r="I3" s="151"/>
      <c r="J3" s="151"/>
      <c r="K3" s="152"/>
    </row>
    <row r="4" spans="1:25" x14ac:dyDescent="0.25">
      <c r="A4" s="33"/>
      <c r="B4" s="294" t="s">
        <v>124</v>
      </c>
      <c r="C4" s="116"/>
      <c r="D4" s="116"/>
      <c r="E4" s="116"/>
      <c r="F4" s="116"/>
      <c r="G4" s="116"/>
      <c r="H4" s="116"/>
      <c r="I4" s="116"/>
      <c r="J4" s="116"/>
      <c r="K4" s="295"/>
    </row>
    <row r="5" spans="1:25" x14ac:dyDescent="0.25">
      <c r="A5" s="30"/>
      <c r="B5" s="296" t="s">
        <v>125</v>
      </c>
      <c r="C5" s="297"/>
      <c r="D5" s="297"/>
      <c r="E5" s="297"/>
      <c r="F5" s="297"/>
      <c r="G5" s="297"/>
      <c r="H5" s="297"/>
      <c r="I5" s="297"/>
      <c r="J5" s="297"/>
      <c r="K5" s="298"/>
    </row>
    <row r="6" spans="1:25" x14ac:dyDescent="0.25">
      <c r="A6" s="4"/>
      <c r="B6" s="25"/>
      <c r="C6" s="15"/>
      <c r="D6" s="15"/>
      <c r="E6" s="15"/>
      <c r="F6" s="15"/>
      <c r="G6" s="15"/>
      <c r="H6" s="15"/>
      <c r="I6" s="15"/>
      <c r="J6" s="15"/>
      <c r="K6" s="16"/>
    </row>
    <row r="7" spans="1:25" ht="18.75" x14ac:dyDescent="0.3">
      <c r="A7" s="34"/>
      <c r="B7" s="299" t="s">
        <v>132</v>
      </c>
      <c r="C7" s="116"/>
      <c r="D7" s="116"/>
      <c r="E7" s="116"/>
      <c r="F7" s="116"/>
      <c r="G7" s="116"/>
      <c r="H7" s="116"/>
      <c r="I7" s="116"/>
      <c r="J7" s="116"/>
      <c r="K7" s="295"/>
    </row>
    <row r="8" spans="1:25" x14ac:dyDescent="0.25">
      <c r="A8" s="4"/>
      <c r="B8" s="17"/>
      <c r="C8" s="4"/>
      <c r="D8" s="4"/>
      <c r="E8" s="4"/>
      <c r="F8" s="4"/>
      <c r="G8" s="4"/>
      <c r="H8" s="4"/>
      <c r="I8" s="4"/>
      <c r="J8" s="4"/>
      <c r="K8" s="18"/>
    </row>
    <row r="9" spans="1:25" x14ac:dyDescent="0.25">
      <c r="A9" s="4"/>
      <c r="B9" s="17" t="s">
        <v>85</v>
      </c>
      <c r="C9" s="43">
        <v>45944</v>
      </c>
      <c r="D9" s="4"/>
      <c r="E9" s="4"/>
      <c r="F9" s="4"/>
      <c r="G9" s="4"/>
      <c r="H9" s="4"/>
      <c r="I9" s="4"/>
      <c r="J9" s="4"/>
      <c r="K9" s="18"/>
    </row>
    <row r="10" spans="1:25" x14ac:dyDescent="0.25">
      <c r="A10" s="4"/>
      <c r="B10" s="17" t="s">
        <v>86</v>
      </c>
      <c r="C10" s="35" t="s">
        <v>161</v>
      </c>
      <c r="D10" s="4"/>
      <c r="E10" s="4"/>
      <c r="F10" s="4"/>
      <c r="G10" s="4"/>
      <c r="H10" s="4"/>
      <c r="I10" s="4"/>
      <c r="J10" s="4"/>
      <c r="K10" s="18"/>
    </row>
    <row r="11" spans="1:25" x14ac:dyDescent="0.25">
      <c r="A11" s="4"/>
      <c r="B11" s="17"/>
      <c r="C11" s="4"/>
      <c r="D11" s="4"/>
      <c r="E11" s="4"/>
      <c r="F11" s="4"/>
      <c r="G11" s="4"/>
      <c r="H11" s="4"/>
      <c r="I11" s="4"/>
      <c r="J11" s="4"/>
      <c r="K11" s="18"/>
    </row>
    <row r="12" spans="1:25" x14ac:dyDescent="0.25">
      <c r="A12" s="4"/>
      <c r="B12" s="17" t="s">
        <v>87</v>
      </c>
      <c r="C12" s="4"/>
      <c r="D12" s="4"/>
      <c r="E12" s="4"/>
      <c r="F12" s="4"/>
      <c r="G12" s="4"/>
      <c r="H12" s="4"/>
      <c r="I12" s="4"/>
      <c r="J12" s="4"/>
      <c r="K12" s="18"/>
    </row>
    <row r="13" spans="1:25" x14ac:dyDescent="0.25">
      <c r="A13" s="14"/>
      <c r="B13" s="286" t="s">
        <v>162</v>
      </c>
      <c r="C13" s="116"/>
      <c r="D13" s="116"/>
      <c r="E13" s="116"/>
      <c r="F13" s="116"/>
      <c r="G13" s="116"/>
      <c r="H13" s="4"/>
      <c r="I13" s="4"/>
      <c r="J13" s="4"/>
      <c r="K13" s="18"/>
    </row>
    <row r="14" spans="1:25" x14ac:dyDescent="0.25">
      <c r="A14" s="36"/>
      <c r="B14" s="287" t="s">
        <v>163</v>
      </c>
      <c r="C14" s="116"/>
      <c r="D14" s="116"/>
      <c r="E14" s="116"/>
      <c r="F14" s="116"/>
      <c r="G14" s="116"/>
      <c r="H14" s="4"/>
      <c r="I14" s="4"/>
      <c r="J14" s="4"/>
      <c r="K14" s="18"/>
    </row>
    <row r="15" spans="1:25" ht="49.5" customHeight="1" x14ac:dyDescent="0.25">
      <c r="A15" s="36"/>
      <c r="B15" s="288"/>
      <c r="C15" s="116"/>
      <c r="D15" s="116"/>
      <c r="E15" s="116"/>
      <c r="F15" s="116"/>
      <c r="G15" s="116"/>
      <c r="H15" s="4"/>
      <c r="I15" s="4"/>
      <c r="J15" s="4"/>
      <c r="K15" s="18"/>
    </row>
    <row r="16" spans="1:25" x14ac:dyDescent="0.25">
      <c r="A16" s="4"/>
      <c r="B16" s="17" t="s">
        <v>88</v>
      </c>
      <c r="C16" s="4"/>
      <c r="D16" s="4"/>
      <c r="E16" s="4"/>
      <c r="F16" s="4"/>
      <c r="G16" s="4"/>
      <c r="H16" s="4"/>
      <c r="I16" s="4"/>
      <c r="J16" s="4"/>
      <c r="K16" s="18"/>
    </row>
    <row r="17" spans="1:14" ht="15.75" thickBot="1" x14ac:dyDescent="0.3">
      <c r="A17" s="4"/>
      <c r="B17" s="23"/>
      <c r="C17" s="24"/>
      <c r="D17" s="24"/>
      <c r="E17" s="24"/>
      <c r="F17" s="24"/>
      <c r="G17" s="24"/>
      <c r="H17" s="24"/>
      <c r="I17" s="24"/>
      <c r="J17" s="24"/>
      <c r="K17" s="22"/>
    </row>
    <row r="18" spans="1:14" ht="15.75" thickBot="1" x14ac:dyDescent="0.3">
      <c r="A18" s="31"/>
      <c r="B18" s="289" t="s">
        <v>89</v>
      </c>
      <c r="C18" s="290"/>
      <c r="D18" s="290"/>
      <c r="E18" s="291"/>
      <c r="F18" s="289" t="s">
        <v>90</v>
      </c>
      <c r="G18" s="222"/>
      <c r="H18" s="289" t="s">
        <v>130</v>
      </c>
      <c r="I18" s="222"/>
      <c r="J18" s="289" t="s">
        <v>91</v>
      </c>
      <c r="K18" s="222"/>
    </row>
    <row r="19" spans="1:14" s="65" customFormat="1" ht="18" customHeight="1" thickBot="1" x14ac:dyDescent="0.3">
      <c r="A19" s="64"/>
      <c r="B19" s="307" t="s">
        <v>133</v>
      </c>
      <c r="C19" s="308"/>
      <c r="D19" s="308"/>
      <c r="E19" s="309"/>
      <c r="F19" s="320">
        <v>99.76</v>
      </c>
      <c r="G19" s="321"/>
      <c r="H19" s="322">
        <v>1808.35</v>
      </c>
      <c r="I19" s="321"/>
      <c r="J19" s="323">
        <f>F19*H19</f>
        <v>180400.99600000001</v>
      </c>
      <c r="K19" s="321"/>
      <c r="N19" s="112"/>
    </row>
    <row r="20" spans="1:14" s="111" customFormat="1" ht="18" customHeight="1" thickBot="1" x14ac:dyDescent="0.3">
      <c r="A20" s="64"/>
      <c r="B20" s="307" t="s">
        <v>133</v>
      </c>
      <c r="C20" s="308"/>
      <c r="D20" s="308"/>
      <c r="E20" s="309"/>
      <c r="F20" s="320">
        <v>99.99</v>
      </c>
      <c r="G20" s="321"/>
      <c r="H20" s="322">
        <v>1676.49</v>
      </c>
      <c r="I20" s="321"/>
      <c r="J20" s="323">
        <f>F20*H20</f>
        <v>167632.23509999999</v>
      </c>
      <c r="K20" s="321"/>
      <c r="N20" s="112"/>
    </row>
    <row r="21" spans="1:14" ht="15.75" customHeight="1" x14ac:dyDescent="0.25">
      <c r="A21" s="30"/>
      <c r="B21" s="313"/>
      <c r="C21" s="116"/>
      <c r="D21" s="116"/>
      <c r="E21" s="116"/>
      <c r="F21" s="292"/>
      <c r="G21" s="330"/>
      <c r="H21" s="325" t="s">
        <v>134</v>
      </c>
      <c r="I21" s="326"/>
      <c r="J21" s="310">
        <f>(J19+J20)*0.001</f>
        <v>348.03323109999997</v>
      </c>
      <c r="K21" s="311"/>
    </row>
    <row r="22" spans="1:14" ht="15.75" customHeight="1" thickBot="1" x14ac:dyDescent="0.3">
      <c r="A22" s="3"/>
      <c r="B22" s="324"/>
      <c r="C22" s="297"/>
      <c r="D22" s="297"/>
      <c r="E22" s="297"/>
      <c r="F22" s="24"/>
      <c r="G22" s="37"/>
      <c r="H22" s="328" t="s">
        <v>77</v>
      </c>
      <c r="I22" s="329"/>
      <c r="J22" s="318">
        <f>SUM(J19:K21)</f>
        <v>348381.26433109998</v>
      </c>
      <c r="K22" s="319"/>
    </row>
    <row r="23" spans="1:14" ht="15.75" customHeight="1" thickBot="1" x14ac:dyDescent="0.3">
      <c r="A23" s="30"/>
      <c r="B23" s="313"/>
      <c r="C23" s="116"/>
      <c r="D23" s="116"/>
      <c r="E23" s="116"/>
      <c r="F23" s="4"/>
      <c r="G23" s="4"/>
      <c r="H23" s="314"/>
      <c r="I23" s="116"/>
      <c r="J23" s="292"/>
      <c r="K23" s="295"/>
    </row>
    <row r="24" spans="1:14" ht="15.75" customHeight="1" x14ac:dyDescent="0.25">
      <c r="A24" s="31"/>
      <c r="B24" s="315" t="s">
        <v>92</v>
      </c>
      <c r="C24" s="223"/>
      <c r="D24" s="29"/>
      <c r="E24" s="29"/>
      <c r="F24" s="29"/>
      <c r="G24" s="29"/>
      <c r="H24" s="29"/>
      <c r="I24" s="29"/>
      <c r="J24" s="316">
        <f>J22</f>
        <v>348381.26433109998</v>
      </c>
      <c r="K24" s="222"/>
    </row>
    <row r="25" spans="1:14" ht="15.75" customHeight="1" x14ac:dyDescent="0.25">
      <c r="A25" s="4"/>
      <c r="B25" s="17"/>
      <c r="C25" s="4"/>
      <c r="D25" s="4"/>
      <c r="E25" s="4"/>
      <c r="F25" s="4"/>
      <c r="G25" s="4"/>
      <c r="H25" s="4"/>
      <c r="I25" s="4"/>
      <c r="J25" s="4"/>
      <c r="K25" s="18"/>
    </row>
    <row r="26" spans="1:14" ht="15.75" customHeight="1" x14ac:dyDescent="0.25">
      <c r="A26" s="38"/>
      <c r="B26" s="327" t="s">
        <v>93</v>
      </c>
      <c r="C26" s="116"/>
      <c r="D26" s="4"/>
      <c r="E26" s="4"/>
      <c r="F26" s="4"/>
      <c r="G26" s="4"/>
      <c r="H26" s="4"/>
      <c r="I26" s="4"/>
      <c r="J26" s="4"/>
      <c r="K26" s="18"/>
    </row>
    <row r="27" spans="1:14" ht="15.75" customHeight="1" x14ac:dyDescent="0.25">
      <c r="A27" s="4"/>
      <c r="B27" s="17" t="s">
        <v>94</v>
      </c>
      <c r="C27" s="4"/>
      <c r="D27" s="1" t="s">
        <v>164</v>
      </c>
      <c r="E27" s="1"/>
      <c r="F27" s="1"/>
      <c r="G27" s="1"/>
      <c r="H27" s="4"/>
      <c r="I27" s="4"/>
      <c r="J27" s="4"/>
      <c r="K27" s="18"/>
    </row>
    <row r="28" spans="1:14" ht="15.75" customHeight="1" x14ac:dyDescent="0.25">
      <c r="A28" s="4"/>
      <c r="B28" s="17" t="s">
        <v>131</v>
      </c>
      <c r="C28" s="4"/>
      <c r="D28" s="317"/>
      <c r="E28" s="317"/>
      <c r="F28" s="317"/>
      <c r="G28" s="4"/>
      <c r="H28" s="4"/>
      <c r="I28" s="4"/>
      <c r="J28" s="4"/>
      <c r="K28" s="18"/>
    </row>
    <row r="29" spans="1:14" ht="15.75" customHeight="1" x14ac:dyDescent="0.25">
      <c r="A29" s="4"/>
      <c r="B29" s="17" t="s">
        <v>95</v>
      </c>
      <c r="C29" s="4"/>
      <c r="D29" s="4"/>
      <c r="E29" s="4"/>
      <c r="F29" s="4"/>
      <c r="G29" s="4"/>
      <c r="H29" s="4"/>
      <c r="I29" s="4"/>
      <c r="J29" s="4"/>
      <c r="K29" s="18"/>
    </row>
    <row r="30" spans="1:14" ht="15.75" customHeight="1" x14ac:dyDescent="0.25">
      <c r="A30" s="4"/>
      <c r="B30" s="17" t="s">
        <v>96</v>
      </c>
      <c r="C30" s="4"/>
      <c r="D30" s="4" t="s">
        <v>157</v>
      </c>
      <c r="E30" s="4"/>
      <c r="F30" s="4"/>
      <c r="G30" s="4"/>
      <c r="H30" s="4"/>
      <c r="I30" s="4"/>
      <c r="J30" s="4"/>
      <c r="K30" s="18"/>
    </row>
    <row r="31" spans="1:14" ht="15.75" customHeight="1" x14ac:dyDescent="0.25">
      <c r="A31" s="4"/>
      <c r="B31" s="17" t="s">
        <v>97</v>
      </c>
      <c r="C31" s="4"/>
      <c r="D31" s="4"/>
      <c r="E31" s="4"/>
      <c r="F31" s="4"/>
      <c r="G31" s="4"/>
      <c r="H31" s="4"/>
      <c r="I31" s="4"/>
      <c r="J31" s="4"/>
      <c r="K31" s="18"/>
    </row>
    <row r="32" spans="1:14" ht="15.75" customHeight="1" x14ac:dyDescent="0.25">
      <c r="A32" s="4"/>
      <c r="B32" s="17" t="s">
        <v>98</v>
      </c>
      <c r="C32" s="4"/>
      <c r="D32" s="4"/>
      <c r="E32" s="4"/>
      <c r="F32" s="4"/>
      <c r="G32" s="4"/>
      <c r="H32" s="4"/>
      <c r="I32" s="4"/>
      <c r="J32" s="4"/>
      <c r="K32" s="18"/>
    </row>
    <row r="33" spans="1:11" ht="15.75" customHeight="1" x14ac:dyDescent="0.25">
      <c r="A33" s="4"/>
      <c r="B33" s="17" t="s">
        <v>99</v>
      </c>
      <c r="C33" s="4"/>
      <c r="D33" s="1" t="s">
        <v>105</v>
      </c>
      <c r="E33" s="4"/>
      <c r="F33" s="4"/>
      <c r="G33" s="4"/>
      <c r="H33" s="4"/>
      <c r="I33" s="4"/>
      <c r="J33" s="4"/>
      <c r="K33" s="18"/>
    </row>
    <row r="34" spans="1:11" ht="15.75" customHeight="1" x14ac:dyDescent="0.25">
      <c r="A34" s="4"/>
      <c r="B34" s="17"/>
      <c r="C34" s="4"/>
      <c r="D34" s="1" t="s">
        <v>123</v>
      </c>
      <c r="E34" s="4"/>
      <c r="F34" s="4"/>
      <c r="G34" s="4"/>
      <c r="H34" s="4"/>
      <c r="I34" s="4"/>
      <c r="J34" s="4"/>
      <c r="K34" s="18"/>
    </row>
    <row r="35" spans="1:11" ht="15.75" customHeight="1" x14ac:dyDescent="0.25">
      <c r="A35" s="4"/>
      <c r="B35" s="17"/>
      <c r="C35" s="4"/>
      <c r="D35" s="1" t="s">
        <v>126</v>
      </c>
      <c r="E35" s="1"/>
      <c r="F35" s="4"/>
      <c r="G35" s="4"/>
      <c r="H35" s="4"/>
      <c r="I35" s="4"/>
      <c r="J35" s="4"/>
      <c r="K35" s="18"/>
    </row>
    <row r="36" spans="1:11" ht="15.75" customHeight="1" x14ac:dyDescent="0.25">
      <c r="A36" s="39"/>
      <c r="B36" s="312" t="s">
        <v>127</v>
      </c>
      <c r="C36" s="116"/>
      <c r="D36" s="116"/>
      <c r="E36" s="116"/>
      <c r="F36" s="116"/>
      <c r="G36" s="116"/>
      <c r="H36" s="4"/>
      <c r="I36" s="4"/>
      <c r="J36" s="4"/>
      <c r="K36" s="18"/>
    </row>
    <row r="37" spans="1:11" ht="15.75" customHeight="1" x14ac:dyDescent="0.25">
      <c r="A37" s="39"/>
      <c r="B37" s="312" t="s">
        <v>128</v>
      </c>
      <c r="C37" s="116"/>
      <c r="D37" s="116"/>
      <c r="E37" s="116"/>
      <c r="F37" s="116"/>
      <c r="G37" s="116"/>
      <c r="H37" s="4"/>
      <c r="I37" s="4"/>
      <c r="J37" s="4"/>
      <c r="K37" s="18"/>
    </row>
    <row r="38" spans="1:11" ht="15.75" customHeight="1" x14ac:dyDescent="0.25">
      <c r="A38" s="28"/>
      <c r="B38" s="27" t="s">
        <v>100</v>
      </c>
      <c r="C38" s="40" t="str">
        <f>'input data'!B6</f>
        <v>AD240725023182F</v>
      </c>
      <c r="D38" s="28"/>
      <c r="E38" s="28"/>
      <c r="F38" s="28"/>
      <c r="G38" s="28"/>
      <c r="H38" s="4"/>
      <c r="I38" s="4"/>
      <c r="J38" s="4"/>
      <c r="K38" s="18"/>
    </row>
    <row r="39" spans="1:11" ht="15.75" customHeight="1" x14ac:dyDescent="0.25">
      <c r="A39" s="4"/>
      <c r="B39" s="26" t="s">
        <v>106</v>
      </c>
      <c r="C39" s="4"/>
      <c r="D39" s="4"/>
      <c r="E39" s="4"/>
      <c r="F39" s="4"/>
      <c r="G39" s="4"/>
      <c r="H39" s="4"/>
      <c r="I39" s="4"/>
      <c r="J39" s="4"/>
      <c r="K39" s="18"/>
    </row>
    <row r="40" spans="1:11" ht="15.75" customHeight="1" x14ac:dyDescent="0.25">
      <c r="A40" s="4"/>
      <c r="B40" s="17"/>
      <c r="C40" s="4"/>
      <c r="D40" s="4"/>
      <c r="E40" s="4"/>
      <c r="F40" s="4"/>
      <c r="G40" s="4"/>
      <c r="H40" s="4"/>
      <c r="I40" s="4"/>
      <c r="J40" s="4"/>
      <c r="K40" s="18"/>
    </row>
    <row r="41" spans="1:11" ht="15.75" customHeight="1" x14ac:dyDescent="0.25">
      <c r="A41" s="4"/>
      <c r="B41" s="17"/>
      <c r="C41" s="4"/>
      <c r="D41" s="4"/>
      <c r="E41" s="4"/>
      <c r="F41" s="4"/>
      <c r="G41" s="4"/>
      <c r="H41" s="4"/>
      <c r="I41" s="4"/>
      <c r="J41" s="4"/>
      <c r="K41" s="18"/>
    </row>
    <row r="42" spans="1:11" ht="15.75" customHeight="1" x14ac:dyDescent="0.25">
      <c r="A42" s="4"/>
      <c r="B42" s="23"/>
      <c r="C42" s="24"/>
      <c r="D42" s="24"/>
      <c r="E42" s="24"/>
      <c r="F42" s="24"/>
      <c r="G42" s="24"/>
      <c r="H42" s="24"/>
      <c r="I42" s="24"/>
      <c r="J42" s="24"/>
      <c r="K42" s="22"/>
    </row>
    <row r="43" spans="1:11" ht="15.75" customHeight="1" x14ac:dyDescent="0.25"/>
    <row r="44" spans="1:11" ht="15.75" customHeight="1" x14ac:dyDescent="0.25"/>
    <row r="45" spans="1:11" ht="15.75" customHeight="1" x14ac:dyDescent="0.25"/>
    <row r="46" spans="1:11" ht="15.75" customHeight="1" x14ac:dyDescent="0.25"/>
    <row r="47" spans="1:11" ht="15.75" customHeight="1" x14ac:dyDescent="0.25"/>
    <row r="48" spans="1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37">
    <mergeCell ref="H20:I20"/>
    <mergeCell ref="J20:K20"/>
    <mergeCell ref="B37:G37"/>
    <mergeCell ref="B22:E22"/>
    <mergeCell ref="H21:I21"/>
    <mergeCell ref="B26:C26"/>
    <mergeCell ref="H22:I22"/>
    <mergeCell ref="F21:G21"/>
    <mergeCell ref="B19:E19"/>
    <mergeCell ref="J21:K21"/>
    <mergeCell ref="B36:G36"/>
    <mergeCell ref="B23:E23"/>
    <mergeCell ref="H23:I23"/>
    <mergeCell ref="J23:K23"/>
    <mergeCell ref="B24:C24"/>
    <mergeCell ref="J24:K24"/>
    <mergeCell ref="D28:F28"/>
    <mergeCell ref="J22:K22"/>
    <mergeCell ref="F19:G19"/>
    <mergeCell ref="H19:I19"/>
    <mergeCell ref="J19:K19"/>
    <mergeCell ref="B21:E21"/>
    <mergeCell ref="B20:E20"/>
    <mergeCell ref="F20:G20"/>
    <mergeCell ref="W1:Y1"/>
    <mergeCell ref="B3:K3"/>
    <mergeCell ref="B4:K4"/>
    <mergeCell ref="B5:K5"/>
    <mergeCell ref="B7:K7"/>
    <mergeCell ref="B1:K2"/>
    <mergeCell ref="R1:V1"/>
    <mergeCell ref="B13:G13"/>
    <mergeCell ref="B14:G15"/>
    <mergeCell ref="F18:G18"/>
    <mergeCell ref="H18:I18"/>
    <mergeCell ref="J18:K18"/>
    <mergeCell ref="B18:E18"/>
  </mergeCells>
  <pageMargins left="0.7" right="0.7" top="0.75" bottom="0.75" header="0" footer="0"/>
  <pageSetup scale="7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97"/>
  <sheetViews>
    <sheetView topLeftCell="A16" zoomScaleNormal="100" workbookViewId="0">
      <selection activeCell="M29" sqref="M29"/>
    </sheetView>
  </sheetViews>
  <sheetFormatPr defaultColWidth="14.42578125" defaultRowHeight="15" x14ac:dyDescent="0.25"/>
  <cols>
    <col min="1" max="2" width="8.7109375" style="66" customWidth="1"/>
    <col min="3" max="3" width="18.85546875" style="66" bestFit="1" customWidth="1"/>
    <col min="4" max="13" width="8.7109375" style="66" customWidth="1"/>
    <col min="14" max="14" width="10.7109375" style="66" bestFit="1" customWidth="1"/>
    <col min="15" max="16" width="8.7109375" style="66" customWidth="1"/>
    <col min="17" max="17" width="17.42578125" style="66" customWidth="1"/>
    <col min="18" max="27" width="8.7109375" style="66" customWidth="1"/>
    <col min="28" max="16384" width="14.42578125" style="66"/>
  </cols>
  <sheetData>
    <row r="1" spans="1:25" ht="36" x14ac:dyDescent="0.55000000000000004">
      <c r="A1" s="32"/>
      <c r="B1" s="300" t="s">
        <v>105</v>
      </c>
      <c r="C1" s="301"/>
      <c r="D1" s="301"/>
      <c r="E1" s="301"/>
      <c r="F1" s="301"/>
      <c r="G1" s="301"/>
      <c r="H1" s="301"/>
      <c r="I1" s="301"/>
      <c r="J1" s="301"/>
      <c r="K1" s="302"/>
      <c r="R1" s="306"/>
      <c r="S1" s="116"/>
      <c r="T1" s="116"/>
      <c r="U1" s="116"/>
      <c r="V1" s="116"/>
      <c r="W1" s="292"/>
      <c r="X1" s="116"/>
      <c r="Y1" s="116"/>
    </row>
    <row r="2" spans="1:25" ht="36.75" thickBot="1" x14ac:dyDescent="0.6">
      <c r="A2" s="32"/>
      <c r="B2" s="303"/>
      <c r="C2" s="304"/>
      <c r="D2" s="304"/>
      <c r="E2" s="304"/>
      <c r="F2" s="304"/>
      <c r="G2" s="304"/>
      <c r="H2" s="304"/>
      <c r="I2" s="304"/>
      <c r="J2" s="304"/>
      <c r="K2" s="305"/>
    </row>
    <row r="3" spans="1:25" x14ac:dyDescent="0.25">
      <c r="A3" s="33"/>
      <c r="B3" s="293" t="s">
        <v>123</v>
      </c>
      <c r="C3" s="151"/>
      <c r="D3" s="151"/>
      <c r="E3" s="151"/>
      <c r="F3" s="151"/>
      <c r="G3" s="151"/>
      <c r="H3" s="151"/>
      <c r="I3" s="151"/>
      <c r="J3" s="151"/>
      <c r="K3" s="152"/>
    </row>
    <row r="4" spans="1:25" x14ac:dyDescent="0.25">
      <c r="A4" s="33"/>
      <c r="B4" s="294" t="s">
        <v>124</v>
      </c>
      <c r="C4" s="116"/>
      <c r="D4" s="116"/>
      <c r="E4" s="116"/>
      <c r="F4" s="116"/>
      <c r="G4" s="116"/>
      <c r="H4" s="116"/>
      <c r="I4" s="116"/>
      <c r="J4" s="116"/>
      <c r="K4" s="295"/>
    </row>
    <row r="5" spans="1:25" ht="15.75" thickBot="1" x14ac:dyDescent="0.3">
      <c r="A5" s="68"/>
      <c r="B5" s="296" t="s">
        <v>125</v>
      </c>
      <c r="C5" s="297"/>
      <c r="D5" s="297"/>
      <c r="E5" s="297"/>
      <c r="F5" s="297"/>
      <c r="G5" s="297"/>
      <c r="H5" s="297"/>
      <c r="I5" s="297"/>
      <c r="J5" s="297"/>
      <c r="K5" s="298"/>
    </row>
    <row r="6" spans="1:25" x14ac:dyDescent="0.25">
      <c r="A6" s="4"/>
      <c r="B6" s="25"/>
      <c r="C6" s="15"/>
      <c r="D6" s="15"/>
      <c r="E6" s="15"/>
      <c r="F6" s="15"/>
      <c r="G6" s="15"/>
      <c r="H6" s="15"/>
      <c r="I6" s="15"/>
      <c r="J6" s="15"/>
      <c r="K6" s="16"/>
    </row>
    <row r="7" spans="1:25" ht="18.75" x14ac:dyDescent="0.3">
      <c r="A7" s="34"/>
      <c r="B7" s="299" t="s">
        <v>132</v>
      </c>
      <c r="C7" s="116"/>
      <c r="D7" s="116"/>
      <c r="E7" s="116"/>
      <c r="F7" s="116"/>
      <c r="G7" s="116"/>
      <c r="H7" s="116"/>
      <c r="I7" s="116"/>
      <c r="J7" s="116"/>
      <c r="K7" s="295"/>
    </row>
    <row r="8" spans="1:25" x14ac:dyDescent="0.25">
      <c r="A8" s="4"/>
      <c r="B8" s="17"/>
      <c r="C8" s="4"/>
      <c r="D8" s="4"/>
      <c r="E8" s="4"/>
      <c r="F8" s="4"/>
      <c r="G8" s="4"/>
      <c r="H8" s="4"/>
      <c r="I8" s="4"/>
      <c r="J8" s="4"/>
      <c r="K8" s="18"/>
    </row>
    <row r="9" spans="1:25" x14ac:dyDescent="0.25">
      <c r="A9" s="4"/>
      <c r="B9" s="17" t="s">
        <v>85</v>
      </c>
      <c r="C9" s="43">
        <v>45945</v>
      </c>
      <c r="D9" s="4"/>
      <c r="E9" s="4"/>
      <c r="F9" s="4"/>
      <c r="G9" s="4"/>
      <c r="H9" s="4"/>
      <c r="I9" s="4"/>
      <c r="J9" s="4"/>
      <c r="K9" s="18"/>
    </row>
    <row r="10" spans="1:25" x14ac:dyDescent="0.25">
      <c r="A10" s="4"/>
      <c r="B10" s="17" t="s">
        <v>86</v>
      </c>
      <c r="C10" s="35" t="s">
        <v>165</v>
      </c>
      <c r="D10" s="4"/>
      <c r="E10" s="4"/>
      <c r="F10" s="4"/>
      <c r="G10" s="4"/>
      <c r="H10" s="4"/>
      <c r="I10" s="4"/>
      <c r="J10" s="4"/>
      <c r="K10" s="18"/>
    </row>
    <row r="11" spans="1:25" x14ac:dyDescent="0.25">
      <c r="A11" s="4"/>
      <c r="B11" s="17"/>
      <c r="C11" s="4"/>
      <c r="D11" s="4"/>
      <c r="E11" s="4"/>
      <c r="F11" s="4"/>
      <c r="G11" s="4"/>
      <c r="H11" s="4"/>
      <c r="I11" s="4"/>
      <c r="J11" s="4"/>
      <c r="K11" s="18"/>
    </row>
    <row r="12" spans="1:25" x14ac:dyDescent="0.25">
      <c r="A12" s="4"/>
      <c r="B12" s="17" t="s">
        <v>87</v>
      </c>
      <c r="C12" s="4"/>
      <c r="D12" s="4"/>
      <c r="E12" s="4"/>
      <c r="F12" s="4"/>
      <c r="G12" s="4"/>
      <c r="H12" s="4"/>
      <c r="I12" s="4"/>
      <c r="J12" s="4"/>
      <c r="K12" s="18"/>
    </row>
    <row r="13" spans="1:25" x14ac:dyDescent="0.25">
      <c r="A13" s="14"/>
      <c r="B13" s="286" t="s">
        <v>167</v>
      </c>
      <c r="C13" s="116"/>
      <c r="D13" s="116"/>
      <c r="E13" s="116"/>
      <c r="F13" s="116"/>
      <c r="G13" s="116"/>
      <c r="H13" s="4"/>
      <c r="I13" s="4"/>
      <c r="J13" s="4"/>
      <c r="K13" s="18"/>
    </row>
    <row r="14" spans="1:25" x14ac:dyDescent="0.25">
      <c r="A14" s="67"/>
      <c r="B14" s="287" t="s">
        <v>168</v>
      </c>
      <c r="C14" s="116"/>
      <c r="D14" s="116"/>
      <c r="E14" s="116"/>
      <c r="F14" s="116"/>
      <c r="G14" s="116"/>
      <c r="H14" s="4"/>
      <c r="I14" s="4"/>
      <c r="J14" s="4"/>
      <c r="K14" s="18"/>
    </row>
    <row r="15" spans="1:25" ht="49.5" customHeight="1" x14ac:dyDescent="0.25">
      <c r="A15" s="67"/>
      <c r="B15" s="288"/>
      <c r="C15" s="116"/>
      <c r="D15" s="116"/>
      <c r="E15" s="116"/>
      <c r="F15" s="116"/>
      <c r="G15" s="116"/>
      <c r="H15" s="4"/>
      <c r="I15" s="4"/>
      <c r="J15" s="4"/>
      <c r="K15" s="18"/>
    </row>
    <row r="16" spans="1:25" x14ac:dyDescent="0.25">
      <c r="A16" s="4"/>
      <c r="B16" s="17" t="s">
        <v>88</v>
      </c>
      <c r="C16" s="4"/>
      <c r="D16" s="4"/>
      <c r="E16" s="4"/>
      <c r="F16" s="4"/>
      <c r="G16" s="4"/>
      <c r="H16" s="4"/>
      <c r="I16" s="4"/>
      <c r="J16" s="4"/>
      <c r="K16" s="18"/>
    </row>
    <row r="17" spans="1:14" ht="15.75" thickBot="1" x14ac:dyDescent="0.3">
      <c r="A17" s="4"/>
      <c r="B17" s="23"/>
      <c r="C17" s="24"/>
      <c r="D17" s="24"/>
      <c r="E17" s="24"/>
      <c r="F17" s="24"/>
      <c r="G17" s="24"/>
      <c r="H17" s="24"/>
      <c r="I17" s="24"/>
      <c r="J17" s="24"/>
      <c r="K17" s="22"/>
    </row>
    <row r="18" spans="1:14" ht="15.75" thickBot="1" x14ac:dyDescent="0.3">
      <c r="A18" s="31"/>
      <c r="B18" s="289" t="s">
        <v>89</v>
      </c>
      <c r="C18" s="290"/>
      <c r="D18" s="290"/>
      <c r="E18" s="291"/>
      <c r="F18" s="289" t="s">
        <v>90</v>
      </c>
      <c r="G18" s="222"/>
      <c r="H18" s="289" t="s">
        <v>130</v>
      </c>
      <c r="I18" s="222"/>
      <c r="J18" s="289" t="s">
        <v>91</v>
      </c>
      <c r="K18" s="222"/>
    </row>
    <row r="19" spans="1:14" s="65" customFormat="1" ht="18" customHeight="1" thickBot="1" x14ac:dyDescent="0.3">
      <c r="A19" s="64"/>
      <c r="B19" s="307" t="s">
        <v>137</v>
      </c>
      <c r="C19" s="308"/>
      <c r="D19" s="308"/>
      <c r="E19" s="309"/>
      <c r="F19" s="320">
        <v>153</v>
      </c>
      <c r="G19" s="321"/>
      <c r="H19" s="322">
        <v>1714.17</v>
      </c>
      <c r="I19" s="321"/>
      <c r="J19" s="323">
        <f>F19*H19</f>
        <v>262268.01</v>
      </c>
      <c r="K19" s="321"/>
      <c r="N19" s="72"/>
    </row>
    <row r="20" spans="1:14" ht="15.75" customHeight="1" x14ac:dyDescent="0.25">
      <c r="A20" s="68"/>
      <c r="B20" s="313"/>
      <c r="C20" s="116"/>
      <c r="D20" s="116"/>
      <c r="E20" s="116"/>
      <c r="F20" s="292"/>
      <c r="G20" s="330"/>
      <c r="H20" s="325" t="s">
        <v>166</v>
      </c>
      <c r="I20" s="326"/>
      <c r="J20" s="310">
        <f>(J19)*0.18</f>
        <v>47208.241800000003</v>
      </c>
      <c r="K20" s="311"/>
    </row>
    <row r="21" spans="1:14" ht="15.75" customHeight="1" thickBot="1" x14ac:dyDescent="0.3">
      <c r="A21" s="14"/>
      <c r="B21" s="324"/>
      <c r="C21" s="297"/>
      <c r="D21" s="297"/>
      <c r="E21" s="297"/>
      <c r="F21" s="24"/>
      <c r="G21" s="37"/>
      <c r="H21" s="328" t="s">
        <v>77</v>
      </c>
      <c r="I21" s="329"/>
      <c r="J21" s="318">
        <f>SUM(J19:K20)</f>
        <v>309476.25180000003</v>
      </c>
      <c r="K21" s="319"/>
    </row>
    <row r="22" spans="1:14" ht="15.75" customHeight="1" thickBot="1" x14ac:dyDescent="0.3">
      <c r="A22" s="68"/>
      <c r="B22" s="313"/>
      <c r="C22" s="116"/>
      <c r="D22" s="116"/>
      <c r="E22" s="116"/>
      <c r="F22" s="4"/>
      <c r="G22" s="4"/>
      <c r="H22" s="314"/>
      <c r="I22" s="116"/>
      <c r="J22" s="292"/>
      <c r="K22" s="295"/>
    </row>
    <row r="23" spans="1:14" ht="15.75" customHeight="1" thickBot="1" x14ac:dyDescent="0.3">
      <c r="A23" s="31"/>
      <c r="B23" s="315" t="s">
        <v>92</v>
      </c>
      <c r="C23" s="223"/>
      <c r="D23" s="29"/>
      <c r="E23" s="29"/>
      <c r="F23" s="29"/>
      <c r="G23" s="29"/>
      <c r="H23" s="29"/>
      <c r="I23" s="29"/>
      <c r="J23" s="316">
        <f>J21</f>
        <v>309476.25180000003</v>
      </c>
      <c r="K23" s="222"/>
    </row>
    <row r="24" spans="1:14" ht="15.75" customHeight="1" x14ac:dyDescent="0.25">
      <c r="A24" s="4"/>
      <c r="B24" s="17"/>
      <c r="C24" s="4"/>
      <c r="D24" s="4"/>
      <c r="E24" s="4"/>
      <c r="F24" s="4"/>
      <c r="G24" s="4"/>
      <c r="H24" s="4"/>
      <c r="I24" s="4"/>
      <c r="J24" s="4"/>
      <c r="K24" s="18"/>
    </row>
    <row r="25" spans="1:14" ht="15.75" customHeight="1" x14ac:dyDescent="0.25">
      <c r="A25" s="38"/>
      <c r="B25" s="327" t="s">
        <v>93</v>
      </c>
      <c r="C25" s="116"/>
      <c r="D25" s="4"/>
      <c r="E25" s="4"/>
      <c r="F25" s="4"/>
      <c r="G25" s="4"/>
      <c r="H25" s="4"/>
      <c r="I25" s="4"/>
      <c r="J25" s="4"/>
      <c r="K25" s="18"/>
    </row>
    <row r="26" spans="1:14" ht="15.75" customHeight="1" x14ac:dyDescent="0.25">
      <c r="A26" s="4"/>
      <c r="B26" s="17" t="s">
        <v>94</v>
      </c>
      <c r="C26" s="4"/>
      <c r="D26" s="1" t="s">
        <v>164</v>
      </c>
      <c r="E26" s="1"/>
      <c r="F26" s="1"/>
      <c r="G26" s="1"/>
      <c r="H26" s="4"/>
      <c r="I26" s="4"/>
      <c r="J26" s="4"/>
      <c r="K26" s="18"/>
    </row>
    <row r="27" spans="1:14" ht="15.75" customHeight="1" x14ac:dyDescent="0.25">
      <c r="A27" s="4"/>
      <c r="B27" s="17" t="s">
        <v>131</v>
      </c>
      <c r="C27" s="4"/>
      <c r="D27" s="317"/>
      <c r="E27" s="317"/>
      <c r="F27" s="317"/>
      <c r="G27" s="4"/>
      <c r="H27" s="4"/>
      <c r="I27" s="4"/>
      <c r="J27" s="4"/>
      <c r="K27" s="18"/>
    </row>
    <row r="28" spans="1:14" ht="15.75" customHeight="1" x14ac:dyDescent="0.25">
      <c r="A28" s="4"/>
      <c r="B28" s="17" t="s">
        <v>95</v>
      </c>
      <c r="C28" s="4"/>
      <c r="D28" s="4"/>
      <c r="E28" s="4"/>
      <c r="F28" s="4"/>
      <c r="G28" s="4"/>
      <c r="H28" s="4"/>
      <c r="I28" s="4"/>
      <c r="J28" s="4"/>
      <c r="K28" s="18"/>
    </row>
    <row r="29" spans="1:14" ht="15.75" customHeight="1" x14ac:dyDescent="0.25">
      <c r="A29" s="4"/>
      <c r="B29" s="17" t="s">
        <v>96</v>
      </c>
      <c r="C29" s="4"/>
      <c r="D29" s="4" t="s">
        <v>157</v>
      </c>
      <c r="E29" s="4"/>
      <c r="F29" s="4"/>
      <c r="G29" s="4"/>
      <c r="H29" s="4"/>
      <c r="I29" s="4"/>
      <c r="J29" s="4"/>
      <c r="K29" s="18"/>
    </row>
    <row r="30" spans="1:14" ht="15.75" customHeight="1" x14ac:dyDescent="0.25">
      <c r="A30" s="4"/>
      <c r="B30" s="17" t="s">
        <v>97</v>
      </c>
      <c r="C30" s="4"/>
      <c r="D30" s="4"/>
      <c r="E30" s="4"/>
      <c r="F30" s="4"/>
      <c r="G30" s="4"/>
      <c r="H30" s="4"/>
      <c r="I30" s="4"/>
      <c r="J30" s="4"/>
      <c r="K30" s="18"/>
    </row>
    <row r="31" spans="1:14" ht="15.75" customHeight="1" x14ac:dyDescent="0.25">
      <c r="A31" s="4"/>
      <c r="B31" s="17" t="s">
        <v>98</v>
      </c>
      <c r="C31" s="4"/>
      <c r="D31" s="4"/>
      <c r="E31" s="4"/>
      <c r="F31" s="4"/>
      <c r="G31" s="4"/>
      <c r="H31" s="4"/>
      <c r="I31" s="4"/>
      <c r="J31" s="4"/>
      <c r="K31" s="18"/>
    </row>
    <row r="32" spans="1:14" ht="15.75" customHeight="1" x14ac:dyDescent="0.25">
      <c r="A32" s="4"/>
      <c r="B32" s="17" t="s">
        <v>99</v>
      </c>
      <c r="C32" s="4"/>
      <c r="D32" s="1" t="s">
        <v>105</v>
      </c>
      <c r="E32" s="4"/>
      <c r="F32" s="4"/>
      <c r="G32" s="4"/>
      <c r="H32" s="4"/>
      <c r="I32" s="4"/>
      <c r="J32" s="4"/>
      <c r="K32" s="18"/>
    </row>
    <row r="33" spans="1:11" ht="15.75" customHeight="1" x14ac:dyDescent="0.25">
      <c r="A33" s="4"/>
      <c r="B33" s="17"/>
      <c r="C33" s="4"/>
      <c r="D33" s="1" t="s">
        <v>123</v>
      </c>
      <c r="E33" s="4"/>
      <c r="F33" s="4"/>
      <c r="G33" s="4"/>
      <c r="H33" s="4"/>
      <c r="I33" s="4"/>
      <c r="J33" s="4"/>
      <c r="K33" s="18"/>
    </row>
    <row r="34" spans="1:11" ht="15.75" customHeight="1" x14ac:dyDescent="0.25">
      <c r="A34" s="4"/>
      <c r="B34" s="17"/>
      <c r="C34" s="4"/>
      <c r="D34" s="1" t="s">
        <v>126</v>
      </c>
      <c r="E34" s="1"/>
      <c r="F34" s="4"/>
      <c r="G34" s="4"/>
      <c r="H34" s="4"/>
      <c r="I34" s="4"/>
      <c r="J34" s="4"/>
      <c r="K34" s="18"/>
    </row>
    <row r="35" spans="1:11" ht="15.75" customHeight="1" x14ac:dyDescent="0.25">
      <c r="A35" s="39"/>
      <c r="B35" s="312" t="s">
        <v>127</v>
      </c>
      <c r="C35" s="116"/>
      <c r="D35" s="116"/>
      <c r="E35" s="116"/>
      <c r="F35" s="116"/>
      <c r="G35" s="116"/>
      <c r="H35" s="4"/>
      <c r="I35" s="4"/>
      <c r="J35" s="4"/>
      <c r="K35" s="18"/>
    </row>
    <row r="36" spans="1:11" ht="15.75" customHeight="1" x14ac:dyDescent="0.25">
      <c r="A36" s="39"/>
      <c r="B36" s="312" t="s">
        <v>128</v>
      </c>
      <c r="C36" s="116"/>
      <c r="D36" s="116"/>
      <c r="E36" s="116"/>
      <c r="F36" s="116"/>
      <c r="G36" s="116"/>
      <c r="H36" s="4"/>
      <c r="I36" s="4"/>
      <c r="J36" s="4"/>
      <c r="K36" s="18"/>
    </row>
    <row r="37" spans="1:11" ht="15.75" customHeight="1" x14ac:dyDescent="0.25">
      <c r="A37" s="28"/>
      <c r="B37" s="27" t="s">
        <v>100</v>
      </c>
      <c r="C37" s="40" t="str">
        <f>'input data'!B6</f>
        <v>AD240725023182F</v>
      </c>
      <c r="D37" s="28"/>
      <c r="E37" s="28"/>
      <c r="F37" s="28"/>
      <c r="G37" s="28"/>
      <c r="H37" s="4"/>
      <c r="I37" s="4"/>
      <c r="J37" s="4"/>
      <c r="K37" s="18"/>
    </row>
    <row r="38" spans="1:11" ht="15.75" customHeight="1" x14ac:dyDescent="0.25">
      <c r="A38" s="4"/>
      <c r="B38" s="26" t="s">
        <v>106</v>
      </c>
      <c r="C38" s="4"/>
      <c r="D38" s="4"/>
      <c r="E38" s="4"/>
      <c r="F38" s="4"/>
      <c r="G38" s="4"/>
      <c r="H38" s="4"/>
      <c r="I38" s="4"/>
      <c r="J38" s="4"/>
      <c r="K38" s="18"/>
    </row>
    <row r="39" spans="1:11" ht="15.75" customHeight="1" x14ac:dyDescent="0.25">
      <c r="A39" s="4"/>
      <c r="B39" s="17"/>
      <c r="C39" s="4"/>
      <c r="D39" s="4"/>
      <c r="E39" s="4"/>
      <c r="F39" s="4"/>
      <c r="G39" s="4"/>
      <c r="H39" s="4"/>
      <c r="I39" s="4"/>
      <c r="J39" s="4"/>
      <c r="K39" s="18"/>
    </row>
    <row r="40" spans="1:11" ht="15.75" customHeight="1" x14ac:dyDescent="0.25">
      <c r="A40" s="4"/>
      <c r="B40" s="17"/>
      <c r="C40" s="4"/>
      <c r="D40" s="4"/>
      <c r="E40" s="4"/>
      <c r="F40" s="4"/>
      <c r="G40" s="4"/>
      <c r="H40" s="4"/>
      <c r="I40" s="4"/>
      <c r="J40" s="4"/>
      <c r="K40" s="18"/>
    </row>
    <row r="41" spans="1:11" ht="15.75" customHeight="1" thickBot="1" x14ac:dyDescent="0.3">
      <c r="A41" s="4"/>
      <c r="B41" s="23"/>
      <c r="C41" s="24"/>
      <c r="D41" s="24"/>
      <c r="E41" s="24"/>
      <c r="F41" s="24"/>
      <c r="G41" s="24"/>
      <c r="H41" s="24"/>
      <c r="I41" s="24"/>
      <c r="J41" s="24"/>
      <c r="K41" s="22"/>
    </row>
    <row r="42" spans="1:11" ht="15.75" customHeight="1" x14ac:dyDescent="0.25"/>
    <row r="43" spans="1:11" ht="15.75" customHeight="1" x14ac:dyDescent="0.25"/>
    <row r="44" spans="1:11" ht="15.75" customHeight="1" x14ac:dyDescent="0.25"/>
    <row r="45" spans="1:11" ht="15.75" customHeight="1" x14ac:dyDescent="0.25"/>
    <row r="46" spans="1:11" ht="15.75" customHeight="1" x14ac:dyDescent="0.25"/>
    <row r="47" spans="1:11" ht="15.75" customHeight="1" x14ac:dyDescent="0.25"/>
    <row r="48" spans="1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33">
    <mergeCell ref="B5:K5"/>
    <mergeCell ref="B1:K2"/>
    <mergeCell ref="R1:V1"/>
    <mergeCell ref="W1:Y1"/>
    <mergeCell ref="B3:K3"/>
    <mergeCell ref="B4:K4"/>
    <mergeCell ref="B7:K7"/>
    <mergeCell ref="B13:G13"/>
    <mergeCell ref="B14:G15"/>
    <mergeCell ref="B18:E18"/>
    <mergeCell ref="F18:G18"/>
    <mergeCell ref="H18:I18"/>
    <mergeCell ref="J18:K18"/>
    <mergeCell ref="B19:E19"/>
    <mergeCell ref="F19:G19"/>
    <mergeCell ref="H19:I19"/>
    <mergeCell ref="J19:K19"/>
    <mergeCell ref="B20:E20"/>
    <mergeCell ref="F20:G20"/>
    <mergeCell ref="H20:I20"/>
    <mergeCell ref="J20:K20"/>
    <mergeCell ref="B35:G35"/>
    <mergeCell ref="B36:G36"/>
    <mergeCell ref="B21:E21"/>
    <mergeCell ref="H21:I21"/>
    <mergeCell ref="B22:E22"/>
    <mergeCell ref="H22:I22"/>
    <mergeCell ref="B23:C23"/>
    <mergeCell ref="J23:K23"/>
    <mergeCell ref="B25:C25"/>
    <mergeCell ref="J21:K21"/>
    <mergeCell ref="J22:K22"/>
    <mergeCell ref="D27:F27"/>
  </mergeCells>
  <pageMargins left="0.7" right="0.7" top="0.75" bottom="0.75" header="0.3" footer="0.3"/>
  <pageSetup scale="85" orientation="portrait" r:id="rId1"/>
  <colBreaks count="1" manualBreakCount="1">
    <brk id="11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97"/>
  <sheetViews>
    <sheetView topLeftCell="A7" zoomScaleNormal="100" workbookViewId="0">
      <selection activeCell="M32" sqref="M32"/>
    </sheetView>
  </sheetViews>
  <sheetFormatPr defaultColWidth="14.42578125" defaultRowHeight="15" x14ac:dyDescent="0.25"/>
  <cols>
    <col min="1" max="2" width="8.7109375" style="69" customWidth="1"/>
    <col min="3" max="3" width="18.85546875" style="69" bestFit="1" customWidth="1"/>
    <col min="4" max="13" width="8.7109375" style="69" customWidth="1"/>
    <col min="14" max="14" width="10.7109375" style="69" bestFit="1" customWidth="1"/>
    <col min="15" max="16" width="8.7109375" style="69" customWidth="1"/>
    <col min="17" max="17" width="17.42578125" style="69" customWidth="1"/>
    <col min="18" max="27" width="8.7109375" style="69" customWidth="1"/>
    <col min="28" max="16384" width="14.42578125" style="69"/>
  </cols>
  <sheetData>
    <row r="1" spans="1:25" ht="36" x14ac:dyDescent="0.55000000000000004">
      <c r="A1" s="32"/>
      <c r="B1" s="300" t="s">
        <v>105</v>
      </c>
      <c r="C1" s="301"/>
      <c r="D1" s="301"/>
      <c r="E1" s="301"/>
      <c r="F1" s="301"/>
      <c r="G1" s="301"/>
      <c r="H1" s="301"/>
      <c r="I1" s="301"/>
      <c r="J1" s="301"/>
      <c r="K1" s="302"/>
      <c r="R1" s="306"/>
      <c r="S1" s="116"/>
      <c r="T1" s="116"/>
      <c r="U1" s="116"/>
      <c r="V1" s="116"/>
      <c r="W1" s="292"/>
      <c r="X1" s="116"/>
      <c r="Y1" s="116"/>
    </row>
    <row r="2" spans="1:25" ht="36.75" thickBot="1" x14ac:dyDescent="0.6">
      <c r="A2" s="32"/>
      <c r="B2" s="303"/>
      <c r="C2" s="304"/>
      <c r="D2" s="304"/>
      <c r="E2" s="304"/>
      <c r="F2" s="304"/>
      <c r="G2" s="304"/>
      <c r="H2" s="304"/>
      <c r="I2" s="304"/>
      <c r="J2" s="304"/>
      <c r="K2" s="305"/>
    </row>
    <row r="3" spans="1:25" x14ac:dyDescent="0.25">
      <c r="A3" s="33"/>
      <c r="B3" s="293" t="s">
        <v>123</v>
      </c>
      <c r="C3" s="151"/>
      <c r="D3" s="151"/>
      <c r="E3" s="151"/>
      <c r="F3" s="151"/>
      <c r="G3" s="151"/>
      <c r="H3" s="151"/>
      <c r="I3" s="151"/>
      <c r="J3" s="151"/>
      <c r="K3" s="152"/>
    </row>
    <row r="4" spans="1:25" x14ac:dyDescent="0.25">
      <c r="A4" s="33"/>
      <c r="B4" s="294" t="s">
        <v>124</v>
      </c>
      <c r="C4" s="116"/>
      <c r="D4" s="116"/>
      <c r="E4" s="116"/>
      <c r="F4" s="116"/>
      <c r="G4" s="116"/>
      <c r="H4" s="116"/>
      <c r="I4" s="116"/>
      <c r="J4" s="116"/>
      <c r="K4" s="295"/>
    </row>
    <row r="5" spans="1:25" ht="15.75" thickBot="1" x14ac:dyDescent="0.3">
      <c r="A5" s="71"/>
      <c r="B5" s="296" t="s">
        <v>125</v>
      </c>
      <c r="C5" s="297"/>
      <c r="D5" s="297"/>
      <c r="E5" s="297"/>
      <c r="F5" s="297"/>
      <c r="G5" s="297"/>
      <c r="H5" s="297"/>
      <c r="I5" s="297"/>
      <c r="J5" s="297"/>
      <c r="K5" s="298"/>
    </row>
    <row r="6" spans="1:25" x14ac:dyDescent="0.25">
      <c r="A6" s="4"/>
      <c r="B6" s="25"/>
      <c r="C6" s="15"/>
      <c r="D6" s="15"/>
      <c r="E6" s="15"/>
      <c r="F6" s="15"/>
      <c r="G6" s="15"/>
      <c r="H6" s="15"/>
      <c r="I6" s="15"/>
      <c r="J6" s="15"/>
      <c r="K6" s="16"/>
    </row>
    <row r="7" spans="1:25" ht="18.75" x14ac:dyDescent="0.3">
      <c r="A7" s="34"/>
      <c r="B7" s="299" t="s">
        <v>132</v>
      </c>
      <c r="C7" s="116"/>
      <c r="D7" s="116"/>
      <c r="E7" s="116"/>
      <c r="F7" s="116"/>
      <c r="G7" s="116"/>
      <c r="H7" s="116"/>
      <c r="I7" s="116"/>
      <c r="J7" s="116"/>
      <c r="K7" s="295"/>
    </row>
    <row r="8" spans="1:25" x14ac:dyDescent="0.25">
      <c r="A8" s="4"/>
      <c r="B8" s="17"/>
      <c r="C8" s="4"/>
      <c r="D8" s="4"/>
      <c r="E8" s="4"/>
      <c r="F8" s="4"/>
      <c r="G8" s="4"/>
      <c r="H8" s="4"/>
      <c r="I8" s="4"/>
      <c r="J8" s="4"/>
      <c r="K8" s="18"/>
    </row>
    <row r="9" spans="1:25" x14ac:dyDescent="0.25">
      <c r="A9" s="4"/>
      <c r="B9" s="17" t="s">
        <v>85</v>
      </c>
      <c r="C9" s="43" t="s">
        <v>136</v>
      </c>
      <c r="D9" s="4"/>
      <c r="E9" s="4"/>
      <c r="F9" s="4"/>
      <c r="G9" s="4"/>
      <c r="H9" s="4"/>
      <c r="I9" s="4"/>
      <c r="J9" s="4"/>
      <c r="K9" s="18"/>
    </row>
    <row r="10" spans="1:25" x14ac:dyDescent="0.25">
      <c r="A10" s="4"/>
      <c r="B10" s="17" t="s">
        <v>86</v>
      </c>
      <c r="C10" s="35" t="s">
        <v>138</v>
      </c>
      <c r="D10" s="4"/>
      <c r="E10" s="4"/>
      <c r="F10" s="4"/>
      <c r="G10" s="4"/>
      <c r="H10" s="4"/>
      <c r="I10" s="4"/>
      <c r="J10" s="4"/>
      <c r="K10" s="18"/>
    </row>
    <row r="11" spans="1:25" x14ac:dyDescent="0.25">
      <c r="A11" s="4"/>
      <c r="B11" s="17"/>
      <c r="C11" s="4"/>
      <c r="D11" s="4"/>
      <c r="E11" s="4"/>
      <c r="F11" s="4"/>
      <c r="G11" s="4"/>
      <c r="H11" s="4"/>
      <c r="I11" s="4"/>
      <c r="J11" s="4"/>
      <c r="K11" s="18"/>
    </row>
    <row r="12" spans="1:25" x14ac:dyDescent="0.25">
      <c r="A12" s="4"/>
      <c r="B12" s="17" t="s">
        <v>87</v>
      </c>
      <c r="C12" s="4"/>
      <c r="D12" s="4"/>
      <c r="E12" s="4"/>
      <c r="F12" s="4"/>
      <c r="G12" s="4"/>
      <c r="H12" s="4"/>
      <c r="I12" s="4"/>
      <c r="J12" s="4"/>
      <c r="K12" s="18"/>
    </row>
    <row r="13" spans="1:25" x14ac:dyDescent="0.25">
      <c r="A13" s="14"/>
      <c r="B13" s="286" t="s">
        <v>139</v>
      </c>
      <c r="C13" s="116"/>
      <c r="D13" s="116"/>
      <c r="E13" s="116"/>
      <c r="F13" s="116"/>
      <c r="G13" s="116"/>
      <c r="H13" s="4"/>
      <c r="I13" s="4"/>
      <c r="J13" s="4"/>
      <c r="K13" s="18"/>
    </row>
    <row r="14" spans="1:25" x14ac:dyDescent="0.25">
      <c r="A14" s="70"/>
      <c r="B14" s="287" t="s">
        <v>140</v>
      </c>
      <c r="C14" s="116"/>
      <c r="D14" s="116"/>
      <c r="E14" s="116"/>
      <c r="F14" s="116"/>
      <c r="G14" s="116"/>
      <c r="H14" s="4"/>
      <c r="I14" s="4"/>
      <c r="J14" s="4"/>
      <c r="K14" s="18"/>
    </row>
    <row r="15" spans="1:25" ht="49.5" customHeight="1" x14ac:dyDescent="0.25">
      <c r="A15" s="70"/>
      <c r="B15" s="288"/>
      <c r="C15" s="116"/>
      <c r="D15" s="116"/>
      <c r="E15" s="116"/>
      <c r="F15" s="116"/>
      <c r="G15" s="116"/>
      <c r="H15" s="4"/>
      <c r="I15" s="4"/>
      <c r="J15" s="4"/>
      <c r="K15" s="18"/>
    </row>
    <row r="16" spans="1:25" x14ac:dyDescent="0.25">
      <c r="A16" s="4"/>
      <c r="B16" s="17" t="s">
        <v>88</v>
      </c>
      <c r="C16" s="4"/>
      <c r="D16" s="4"/>
      <c r="E16" s="4"/>
      <c r="F16" s="4"/>
      <c r="G16" s="4"/>
      <c r="H16" s="4"/>
      <c r="I16" s="4"/>
      <c r="J16" s="4"/>
      <c r="K16" s="18"/>
    </row>
    <row r="17" spans="1:14" ht="15.75" thickBot="1" x14ac:dyDescent="0.3">
      <c r="A17" s="4"/>
      <c r="B17" s="23"/>
      <c r="C17" s="24"/>
      <c r="D17" s="24"/>
      <c r="E17" s="24"/>
      <c r="F17" s="24"/>
      <c r="G17" s="24"/>
      <c r="H17" s="24"/>
      <c r="I17" s="24"/>
      <c r="J17" s="24"/>
      <c r="K17" s="22"/>
    </row>
    <row r="18" spans="1:14" ht="15.75" thickBot="1" x14ac:dyDescent="0.3">
      <c r="A18" s="31"/>
      <c r="B18" s="289" t="s">
        <v>89</v>
      </c>
      <c r="C18" s="290"/>
      <c r="D18" s="290"/>
      <c r="E18" s="291"/>
      <c r="F18" s="289" t="s">
        <v>90</v>
      </c>
      <c r="G18" s="222"/>
      <c r="H18" s="289" t="s">
        <v>130</v>
      </c>
      <c r="I18" s="222"/>
      <c r="J18" s="289" t="s">
        <v>91</v>
      </c>
      <c r="K18" s="222"/>
    </row>
    <row r="19" spans="1:14" s="65" customFormat="1" ht="18" customHeight="1" thickBot="1" x14ac:dyDescent="0.3">
      <c r="A19" s="64"/>
      <c r="B19" s="307" t="s">
        <v>137</v>
      </c>
      <c r="C19" s="308"/>
      <c r="D19" s="308"/>
      <c r="E19" s="309"/>
      <c r="F19" s="320">
        <v>157.12</v>
      </c>
      <c r="G19" s="321"/>
      <c r="H19" s="322">
        <v>1190.73</v>
      </c>
      <c r="I19" s="321"/>
      <c r="J19" s="323">
        <f>F19*H19</f>
        <v>187087.4976</v>
      </c>
      <c r="K19" s="321"/>
      <c r="N19" s="72"/>
    </row>
    <row r="20" spans="1:14" ht="15.75" customHeight="1" x14ac:dyDescent="0.25">
      <c r="A20" s="71"/>
      <c r="B20" s="313"/>
      <c r="C20" s="116"/>
      <c r="D20" s="116"/>
      <c r="E20" s="116"/>
      <c r="F20" s="292"/>
      <c r="G20" s="330"/>
      <c r="H20" s="325" t="s">
        <v>134</v>
      </c>
      <c r="I20" s="326"/>
      <c r="J20" s="310">
        <f>(J19)*0.001</f>
        <v>187.08749760000001</v>
      </c>
      <c r="K20" s="311"/>
    </row>
    <row r="21" spans="1:14" ht="15.75" customHeight="1" thickBot="1" x14ac:dyDescent="0.3">
      <c r="A21" s="14"/>
      <c r="B21" s="324"/>
      <c r="C21" s="297"/>
      <c r="D21" s="297"/>
      <c r="E21" s="297"/>
      <c r="F21" s="24"/>
      <c r="G21" s="37"/>
      <c r="H21" s="328" t="s">
        <v>77</v>
      </c>
      <c r="I21" s="329"/>
      <c r="J21" s="318">
        <f>SUM(J19:K20)</f>
        <v>187274.58509760001</v>
      </c>
      <c r="K21" s="319"/>
    </row>
    <row r="22" spans="1:14" ht="15.75" customHeight="1" thickBot="1" x14ac:dyDescent="0.3">
      <c r="A22" s="71"/>
      <c r="B22" s="313"/>
      <c r="C22" s="116"/>
      <c r="D22" s="116"/>
      <c r="E22" s="116"/>
      <c r="F22" s="4"/>
      <c r="G22" s="4"/>
      <c r="H22" s="314"/>
      <c r="I22" s="116"/>
      <c r="J22" s="292"/>
      <c r="K22" s="295"/>
    </row>
    <row r="23" spans="1:14" ht="15.75" customHeight="1" thickBot="1" x14ac:dyDescent="0.3">
      <c r="A23" s="31"/>
      <c r="B23" s="315" t="s">
        <v>92</v>
      </c>
      <c r="C23" s="223"/>
      <c r="D23" s="29"/>
      <c r="E23" s="29"/>
      <c r="F23" s="29"/>
      <c r="G23" s="29"/>
      <c r="H23" s="29"/>
      <c r="I23" s="29"/>
      <c r="J23" s="316">
        <f>J21</f>
        <v>187274.58509760001</v>
      </c>
      <c r="K23" s="222"/>
    </row>
    <row r="24" spans="1:14" ht="15.75" customHeight="1" x14ac:dyDescent="0.25">
      <c r="A24" s="4"/>
      <c r="B24" s="17"/>
      <c r="C24" s="4"/>
      <c r="D24" s="4"/>
      <c r="E24" s="4"/>
      <c r="F24" s="4"/>
      <c r="G24" s="4"/>
      <c r="H24" s="4"/>
      <c r="I24" s="4"/>
      <c r="J24" s="4"/>
      <c r="K24" s="18"/>
    </row>
    <row r="25" spans="1:14" ht="15.75" customHeight="1" x14ac:dyDescent="0.25">
      <c r="A25" s="38"/>
      <c r="B25" s="327" t="s">
        <v>93</v>
      </c>
      <c r="C25" s="116"/>
      <c r="D25" s="4"/>
      <c r="E25" s="4"/>
      <c r="F25" s="4"/>
      <c r="G25" s="4"/>
      <c r="H25" s="4"/>
      <c r="I25" s="4"/>
      <c r="J25" s="4"/>
      <c r="K25" s="18"/>
    </row>
    <row r="26" spans="1:14" ht="15.75" customHeight="1" x14ac:dyDescent="0.25">
      <c r="A26" s="4"/>
      <c r="B26" s="17" t="s">
        <v>94</v>
      </c>
      <c r="C26" s="4"/>
      <c r="D26" s="1" t="s">
        <v>135</v>
      </c>
      <c r="E26" s="1"/>
      <c r="F26" s="1"/>
      <c r="G26" s="1"/>
      <c r="H26" s="4"/>
      <c r="I26" s="4"/>
      <c r="J26" s="4"/>
      <c r="K26" s="18"/>
    </row>
    <row r="27" spans="1:14" ht="15.75" customHeight="1" x14ac:dyDescent="0.25">
      <c r="A27" s="4"/>
      <c r="B27" s="17" t="s">
        <v>131</v>
      </c>
      <c r="C27" s="4"/>
      <c r="D27" s="317"/>
      <c r="E27" s="317"/>
      <c r="F27" s="317"/>
      <c r="G27" s="4"/>
      <c r="H27" s="4"/>
      <c r="I27" s="4"/>
      <c r="J27" s="4"/>
      <c r="K27" s="18"/>
    </row>
    <row r="28" spans="1:14" ht="15.75" customHeight="1" x14ac:dyDescent="0.25">
      <c r="A28" s="4"/>
      <c r="B28" s="17" t="s">
        <v>95</v>
      </c>
      <c r="C28" s="4"/>
      <c r="D28" s="4"/>
      <c r="E28" s="4"/>
      <c r="F28" s="4"/>
      <c r="G28" s="4"/>
      <c r="H28" s="4"/>
      <c r="I28" s="4"/>
      <c r="J28" s="4"/>
      <c r="K28" s="18"/>
    </row>
    <row r="29" spans="1:14" ht="15.75" customHeight="1" x14ac:dyDescent="0.25">
      <c r="A29" s="4"/>
      <c r="B29" s="17" t="s">
        <v>96</v>
      </c>
      <c r="C29" s="4"/>
      <c r="D29" s="4" t="s">
        <v>110</v>
      </c>
      <c r="E29" s="4"/>
      <c r="F29" s="4"/>
      <c r="G29" s="4"/>
      <c r="H29" s="4"/>
      <c r="I29" s="4"/>
      <c r="J29" s="4"/>
      <c r="K29" s="18"/>
    </row>
    <row r="30" spans="1:14" ht="15.75" customHeight="1" x14ac:dyDescent="0.25">
      <c r="A30" s="4"/>
      <c r="B30" s="17" t="s">
        <v>97</v>
      </c>
      <c r="C30" s="4"/>
      <c r="D30" s="4"/>
      <c r="E30" s="4"/>
      <c r="F30" s="4"/>
      <c r="G30" s="4"/>
      <c r="H30" s="4"/>
      <c r="I30" s="4"/>
      <c r="J30" s="4"/>
      <c r="K30" s="18"/>
    </row>
    <row r="31" spans="1:14" ht="15.75" customHeight="1" x14ac:dyDescent="0.25">
      <c r="A31" s="4"/>
      <c r="B31" s="17" t="s">
        <v>98</v>
      </c>
      <c r="C31" s="4"/>
      <c r="D31" s="4"/>
      <c r="E31" s="4"/>
      <c r="F31" s="4"/>
      <c r="G31" s="4"/>
      <c r="H31" s="4"/>
      <c r="I31" s="4"/>
      <c r="J31" s="4"/>
      <c r="K31" s="18"/>
    </row>
    <row r="32" spans="1:14" ht="15.75" customHeight="1" x14ac:dyDescent="0.25">
      <c r="A32" s="4"/>
      <c r="B32" s="17" t="s">
        <v>99</v>
      </c>
      <c r="C32" s="4"/>
      <c r="D32" s="1" t="s">
        <v>105</v>
      </c>
      <c r="E32" s="4"/>
      <c r="F32" s="4"/>
      <c r="G32" s="4"/>
      <c r="H32" s="4"/>
      <c r="I32" s="4"/>
      <c r="J32" s="4"/>
      <c r="K32" s="18"/>
    </row>
    <row r="33" spans="1:11" ht="15.75" customHeight="1" x14ac:dyDescent="0.25">
      <c r="A33" s="4"/>
      <c r="B33" s="17"/>
      <c r="C33" s="4"/>
      <c r="D33" s="1" t="s">
        <v>123</v>
      </c>
      <c r="E33" s="4"/>
      <c r="F33" s="4"/>
      <c r="G33" s="4"/>
      <c r="H33" s="4"/>
      <c r="I33" s="4"/>
      <c r="J33" s="4"/>
      <c r="K33" s="18"/>
    </row>
    <row r="34" spans="1:11" ht="15.75" customHeight="1" x14ac:dyDescent="0.25">
      <c r="A34" s="4"/>
      <c r="B34" s="17"/>
      <c r="C34" s="4"/>
      <c r="D34" s="1" t="s">
        <v>126</v>
      </c>
      <c r="E34" s="1"/>
      <c r="F34" s="4"/>
      <c r="G34" s="4"/>
      <c r="H34" s="4"/>
      <c r="I34" s="4"/>
      <c r="J34" s="4"/>
      <c r="K34" s="18"/>
    </row>
    <row r="35" spans="1:11" ht="15.75" customHeight="1" x14ac:dyDescent="0.25">
      <c r="A35" s="39"/>
      <c r="B35" s="312" t="s">
        <v>127</v>
      </c>
      <c r="C35" s="116"/>
      <c r="D35" s="116"/>
      <c r="E35" s="116"/>
      <c r="F35" s="116"/>
      <c r="G35" s="116"/>
      <c r="H35" s="4"/>
      <c r="I35" s="4"/>
      <c r="J35" s="4"/>
      <c r="K35" s="18"/>
    </row>
    <row r="36" spans="1:11" ht="15.75" customHeight="1" x14ac:dyDescent="0.25">
      <c r="A36" s="39"/>
      <c r="B36" s="312" t="s">
        <v>128</v>
      </c>
      <c r="C36" s="116"/>
      <c r="D36" s="116"/>
      <c r="E36" s="116"/>
      <c r="F36" s="116"/>
      <c r="G36" s="116"/>
      <c r="H36" s="4"/>
      <c r="I36" s="4"/>
      <c r="J36" s="4"/>
      <c r="K36" s="18"/>
    </row>
    <row r="37" spans="1:11" ht="15.75" customHeight="1" x14ac:dyDescent="0.25">
      <c r="A37" s="28"/>
      <c r="B37" s="27" t="s">
        <v>100</v>
      </c>
      <c r="C37" s="40" t="str">
        <f>'input data'!B6</f>
        <v>AD240725023182F</v>
      </c>
      <c r="D37" s="28"/>
      <c r="E37" s="28"/>
      <c r="F37" s="28"/>
      <c r="G37" s="28"/>
      <c r="H37" s="4"/>
      <c r="I37" s="4"/>
      <c r="J37" s="4"/>
      <c r="K37" s="18"/>
    </row>
    <row r="38" spans="1:11" ht="15.75" customHeight="1" x14ac:dyDescent="0.25">
      <c r="A38" s="4"/>
      <c r="B38" s="26" t="s">
        <v>106</v>
      </c>
      <c r="C38" s="4"/>
      <c r="D38" s="4"/>
      <c r="E38" s="4"/>
      <c r="F38" s="4"/>
      <c r="G38" s="4"/>
      <c r="H38" s="4"/>
      <c r="I38" s="4"/>
      <c r="J38" s="4"/>
      <c r="K38" s="18"/>
    </row>
    <row r="39" spans="1:11" ht="15.75" customHeight="1" x14ac:dyDescent="0.25">
      <c r="A39" s="4"/>
      <c r="B39" s="17"/>
      <c r="C39" s="4"/>
      <c r="D39" s="4"/>
      <c r="E39" s="4"/>
      <c r="F39" s="4"/>
      <c r="G39" s="4"/>
      <c r="H39" s="4"/>
      <c r="I39" s="4"/>
      <c r="J39" s="4"/>
      <c r="K39" s="18"/>
    </row>
    <row r="40" spans="1:11" ht="15.75" customHeight="1" x14ac:dyDescent="0.25">
      <c r="A40" s="4"/>
      <c r="B40" s="17"/>
      <c r="C40" s="4"/>
      <c r="D40" s="4"/>
      <c r="E40" s="4"/>
      <c r="F40" s="4"/>
      <c r="G40" s="4"/>
      <c r="H40" s="4"/>
      <c r="I40" s="4"/>
      <c r="J40" s="4"/>
      <c r="K40" s="18"/>
    </row>
    <row r="41" spans="1:11" ht="15.75" customHeight="1" thickBot="1" x14ac:dyDescent="0.3">
      <c r="A41" s="4"/>
      <c r="B41" s="23"/>
      <c r="C41" s="24"/>
      <c r="D41" s="24"/>
      <c r="E41" s="24"/>
      <c r="F41" s="24"/>
      <c r="G41" s="24"/>
      <c r="H41" s="24"/>
      <c r="I41" s="24"/>
      <c r="J41" s="24"/>
      <c r="K41" s="22"/>
    </row>
    <row r="42" spans="1:11" ht="15.75" customHeight="1" x14ac:dyDescent="0.25"/>
    <row r="43" spans="1:11" ht="15.75" customHeight="1" x14ac:dyDescent="0.25"/>
    <row r="44" spans="1:11" ht="15.75" customHeight="1" x14ac:dyDescent="0.25"/>
    <row r="45" spans="1:11" ht="15.75" customHeight="1" x14ac:dyDescent="0.25"/>
    <row r="46" spans="1:11" ht="15.75" customHeight="1" x14ac:dyDescent="0.25"/>
    <row r="47" spans="1:11" ht="15.75" customHeight="1" x14ac:dyDescent="0.25"/>
    <row r="48" spans="1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33">
    <mergeCell ref="D27:F27"/>
    <mergeCell ref="B35:G35"/>
    <mergeCell ref="B36:G36"/>
    <mergeCell ref="B22:E22"/>
    <mergeCell ref="H22:I22"/>
    <mergeCell ref="J22:K22"/>
    <mergeCell ref="B23:C23"/>
    <mergeCell ref="J23:K23"/>
    <mergeCell ref="B25:C25"/>
    <mergeCell ref="B20:E20"/>
    <mergeCell ref="F20:G20"/>
    <mergeCell ref="H20:I20"/>
    <mergeCell ref="J20:K20"/>
    <mergeCell ref="B21:E21"/>
    <mergeCell ref="H21:I21"/>
    <mergeCell ref="J21:K21"/>
    <mergeCell ref="B19:E19"/>
    <mergeCell ref="F19:G19"/>
    <mergeCell ref="H19:I19"/>
    <mergeCell ref="J19:K19"/>
    <mergeCell ref="B7:K7"/>
    <mergeCell ref="B13:G13"/>
    <mergeCell ref="B14:G15"/>
    <mergeCell ref="B18:E18"/>
    <mergeCell ref="F18:G18"/>
    <mergeCell ref="H18:I18"/>
    <mergeCell ref="J18:K18"/>
    <mergeCell ref="B5:K5"/>
    <mergeCell ref="B1:K2"/>
    <mergeCell ref="R1:V1"/>
    <mergeCell ref="W1:Y1"/>
    <mergeCell ref="B3:K3"/>
    <mergeCell ref="B4:K4"/>
  </mergeCells>
  <pageMargins left="0.7" right="0.7" top="0.75" bottom="0.75" header="0.3" footer="0.3"/>
  <pageSetup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company data</vt:lpstr>
      <vt:lpstr>input data</vt:lpstr>
      <vt:lpstr>Invoice rockstone</vt:lpstr>
      <vt:lpstr>Peacking List</vt:lpstr>
      <vt:lpstr>PO</vt:lpstr>
      <vt:lpstr>Sheet1</vt:lpstr>
      <vt:lpstr>Sheet2</vt:lpstr>
      <vt:lpstr>PO!Print_Area</vt:lpstr>
      <vt:lpstr>Sheet1!Print_Area</vt:lpstr>
      <vt:lpstr>Sheet2!Print_Area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</dc:creator>
  <cp:lastModifiedBy>Mewad Trading</cp:lastModifiedBy>
  <cp:lastPrinted>2025-10-15T08:17:17Z</cp:lastPrinted>
  <dcterms:created xsi:type="dcterms:W3CDTF">2022-11-23T06:47:43Z</dcterms:created>
  <dcterms:modified xsi:type="dcterms:W3CDTF">2025-11-21T04:37:22Z</dcterms:modified>
</cp:coreProperties>
</file>