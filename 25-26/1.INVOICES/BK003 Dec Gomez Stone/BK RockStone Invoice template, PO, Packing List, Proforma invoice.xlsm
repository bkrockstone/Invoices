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K ROCKSTONE PVT LTD\BK Rockstone Invoices\25-26\1.INVOICES\BK003 Dec Gomez Stone\"/>
    </mc:Choice>
  </mc:AlternateContent>
  <bookViews>
    <workbookView xWindow="0" yWindow="0" windowWidth="20490" windowHeight="7755" activeTab="2"/>
  </bookViews>
  <sheets>
    <sheet name="company data" sheetId="1" r:id="rId1"/>
    <sheet name="input data" sheetId="2" r:id="rId2"/>
    <sheet name="Invoice rockstone" sheetId="6" r:id="rId3"/>
    <sheet name="Peacking List" sheetId="4" r:id="rId4"/>
    <sheet name="PO" sheetId="5" r:id="rId5"/>
    <sheet name="Sheet2" sheetId="8" r:id="rId6"/>
  </sheets>
  <functionGroups builtInGroupCount="18"/>
  <definedNames>
    <definedName name="_xlnm.Print_Area" localSheetId="4">PO!$A$1:$K$42</definedName>
    <definedName name="_xlnm.Print_Area" localSheetId="5">Sheet2!$A$1:$K$41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29" i="6" l="1"/>
  <c r="I28" i="6"/>
  <c r="G12" i="4"/>
  <c r="E15" i="6"/>
  <c r="Q21" i="8" l="1"/>
  <c r="R19" i="8"/>
  <c r="R17" i="8"/>
  <c r="R18" i="8"/>
  <c r="O21" i="8"/>
  <c r="J20" i="5" l="1"/>
  <c r="Q23" i="5"/>
  <c r="Q24" i="5" s="1"/>
  <c r="O22" i="5"/>
  <c r="O24" i="5" s="1"/>
  <c r="E6" i="6" l="1"/>
  <c r="F29" i="6" l="1"/>
  <c r="A19" i="4" l="1"/>
  <c r="A12" i="4"/>
  <c r="G19" i="4"/>
  <c r="G17" i="4"/>
  <c r="I15" i="4"/>
  <c r="D19" i="4"/>
  <c r="D17" i="4"/>
  <c r="D15" i="4"/>
  <c r="A15" i="6"/>
  <c r="A28" i="4" l="1"/>
  <c r="J19" i="8" l="1"/>
  <c r="J20" i="8" s="1"/>
  <c r="J21" i="8" l="1"/>
  <c r="J23" i="8" s="1"/>
  <c r="B6" i="2" l="1"/>
  <c r="B24" i="4"/>
  <c r="B23" i="4"/>
  <c r="I3" i="4"/>
  <c r="H29" i="6"/>
  <c r="I24" i="4"/>
  <c r="F28" i="6"/>
  <c r="B29" i="6"/>
  <c r="D24" i="4" s="1"/>
  <c r="B28" i="6"/>
  <c r="D23" i="4" s="1"/>
  <c r="H4" i="6"/>
  <c r="I23" i="4" l="1"/>
  <c r="I25" i="4" s="1"/>
  <c r="C37" i="8"/>
  <c r="C31" i="6"/>
  <c r="A31" i="6"/>
  <c r="H28" i="6"/>
  <c r="H25" i="6"/>
  <c r="E25" i="6"/>
  <c r="C25" i="6"/>
  <c r="H22" i="6"/>
  <c r="C22" i="6"/>
  <c r="H12" i="6"/>
  <c r="E12" i="6"/>
  <c r="H10" i="6"/>
  <c r="E10" i="6"/>
  <c r="I33" i="6" l="1"/>
  <c r="H6" i="6"/>
  <c r="A34" i="6"/>
  <c r="J19" i="5" l="1"/>
  <c r="C28" i="4" l="1"/>
  <c r="B3" i="2" l="1"/>
  <c r="E4" i="6" l="1"/>
  <c r="G3" i="4"/>
  <c r="G5" i="4"/>
  <c r="C37" i="5"/>
  <c r="C30" i="4"/>
  <c r="J21" i="5" l="1"/>
  <c r="J23" i="5" s="1"/>
</calcChain>
</file>

<file path=xl/sharedStrings.xml><?xml version="1.0" encoding="utf-8"?>
<sst xmlns="http://schemas.openxmlformats.org/spreadsheetml/2006/main" count="242" uniqueCount="171">
  <si>
    <t>financial year</t>
  </si>
  <si>
    <t>Kind of packing</t>
  </si>
  <si>
    <t>type of container</t>
  </si>
  <si>
    <t>terms of delivery</t>
  </si>
  <si>
    <t>terms of payment</t>
  </si>
  <si>
    <t>FCL</t>
  </si>
  <si>
    <t>FOB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</si>
  <si>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</si>
  <si>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</si>
  <si>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</si>
  <si>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</si>
  <si>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</si>
  <si>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</si>
  <si>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</si>
  <si>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</si>
  <si>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</si>
  <si>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</si>
  <si>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</si>
  <si>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</si>
  <si>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</si>
  <si>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</si>
  <si>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</si>
  <si>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</si>
  <si>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</si>
  <si>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</si>
  <si>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</si>
  <si>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</si>
  <si>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</si>
  <si>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</si>
  <si>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</si>
  <si>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</si>
  <si>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</si>
  <si>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Rate  Per</t>
  </si>
  <si>
    <t xml:space="preserve">INVOICE </t>
  </si>
  <si>
    <t xml:space="preserve">EXPORTER </t>
  </si>
  <si>
    <t>INVOICE NO.</t>
  </si>
  <si>
    <t>DATE</t>
  </si>
  <si>
    <t>LUT/ARN NO.</t>
  </si>
  <si>
    <t>PAN NO. /IEC CODE</t>
  </si>
  <si>
    <t>GSTIN</t>
  </si>
  <si>
    <t xml:space="preserve">KIND OF PACKING </t>
  </si>
  <si>
    <t>TYPE OF CONTAINER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</si>
  <si>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</si>
  <si>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</si>
  <si>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</si>
  <si>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</si>
  <si>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</si>
  <si>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</si>
  <si>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</si>
  <si>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</si>
  <si>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</si>
  <si>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</si>
  <si>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</si>
  <si>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</si>
  <si>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</si>
  <si>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</si>
  <si>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</si>
  <si>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</si>
  <si>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</si>
  <si>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</si>
  <si>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27500 kgs</t>
  </si>
  <si>
    <t>Amount in Words:</t>
  </si>
  <si>
    <t>Declaration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</si>
  <si>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</si>
  <si>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*  Thickness Variation will be -/+1mm.
</t>
  </si>
  <si>
    <t xml:space="preserve">Authorised Signatory </t>
  </si>
  <si>
    <t>PACKING LIST</t>
  </si>
  <si>
    <t>EXPORTER</t>
  </si>
  <si>
    <t>OTHER REFERENCE(S)</t>
  </si>
  <si>
    <t>Country of Origin of Goods</t>
  </si>
  <si>
    <t>Country of Final Destination</t>
  </si>
  <si>
    <t xml:space="preserve">Pre-Carriage by </t>
  </si>
  <si>
    <t>Place of Receipt by Pre-carrier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</si>
  <si>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</si>
  <si>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</si>
  <si>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</si>
  <si>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</si>
  <si>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</si>
  <si>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</si>
  <si>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27500kgs</t>
  </si>
  <si>
    <t xml:space="preserve">PACKING TYPE : </t>
  </si>
  <si>
    <t>QUANTITY  : 1X20 FT CONTAINER</t>
  </si>
  <si>
    <t xml:space="preserve">DECLARATION </t>
  </si>
  <si>
    <t>*   Zero rated export under LUT.</t>
  </si>
  <si>
    <t xml:space="preserve">Authorised Signature </t>
  </si>
  <si>
    <t>DATE:</t>
  </si>
  <si>
    <t>REF. NO.</t>
  </si>
  <si>
    <t>TO,</t>
  </si>
  <si>
    <t>Dear Sir/ Madam,</t>
  </si>
  <si>
    <t>Description</t>
  </si>
  <si>
    <t xml:space="preserve">RATES </t>
  </si>
  <si>
    <t>AMOUNT</t>
  </si>
  <si>
    <t>GRAND TOTAL</t>
  </si>
  <si>
    <t xml:space="preserve">OTHER DETAILS </t>
  </si>
  <si>
    <t>Packing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</si>
  <si>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</si>
  <si>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</si>
  <si>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</si>
  <si>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</si>
  <si>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</si>
  <si>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t xml:space="preserve">LUT NO: </t>
  </si>
  <si>
    <t>25-26</t>
  </si>
  <si>
    <t>LC at Sight</t>
  </si>
  <si>
    <t>24AANCB5070H1ZO</t>
  </si>
  <si>
    <t>AANCB5070H</t>
  </si>
  <si>
    <t>BK ROCKSTONE PRIVATE LIMITED</t>
  </si>
  <si>
    <t>For BK ROCKSTONE PRIVATE LIMITED</t>
  </si>
  <si>
    <t>Director</t>
  </si>
  <si>
    <t>PROFORMA INVOICE</t>
  </si>
  <si>
    <t>IE CODE  : AANCB5070H</t>
  </si>
  <si>
    <t>CHENNAI</t>
  </si>
  <si>
    <t>TOTAL SLABS</t>
  </si>
  <si>
    <t>Quantity 1</t>
  </si>
  <si>
    <t>Poduct Name 1</t>
  </si>
  <si>
    <t xml:space="preserve"> Container No.</t>
  </si>
  <si>
    <t>Rate  quantity 1</t>
  </si>
  <si>
    <t>Poduct Name 2</t>
  </si>
  <si>
    <t>Quantity 2</t>
  </si>
  <si>
    <t>Rate  quantity 2</t>
  </si>
  <si>
    <t>Poduct Name 3</t>
  </si>
  <si>
    <t>Quantity 3</t>
  </si>
  <si>
    <t>Rate  quantity 3</t>
  </si>
  <si>
    <t>Proforma Invoice</t>
  </si>
  <si>
    <t xml:space="preserve">90/3, NR. BRAMBHANI ICE FACTORY, NR. RADHIKA SOCIETY, </t>
  </si>
  <si>
    <t xml:space="preserve"> JASHODANAGAR CANAL ROAD, CTM CHAR RASTA, AHMEDABAD, AHMEDABAD, GUJARAT, 380026.</t>
  </si>
  <si>
    <t>info@bkrockstone.com, www.bkrockstone.com , +91-9313035076, +91-926580144</t>
  </si>
  <si>
    <t>JASHODANAGAR CANAL ROAD, CTM CHAR RASTA, GUJARAT, 380026.</t>
  </si>
  <si>
    <t>IEC NO.    AANCB5070H</t>
  </si>
  <si>
    <t>GSTIN NO.  24AANCB5070H1ZO</t>
  </si>
  <si>
    <t>PAN NO. : AANCB5070H</t>
  </si>
  <si>
    <t>SQ FOOT</t>
  </si>
  <si>
    <t>Delivery Time</t>
  </si>
  <si>
    <t>PURCHASE ORDER</t>
  </si>
  <si>
    <t>Polised Granite slabs</t>
  </si>
  <si>
    <t>GST 0.1%</t>
  </si>
  <si>
    <t xml:space="preserve">Polised Granite slabs </t>
  </si>
  <si>
    <t>Polished Granite Slabs</t>
  </si>
  <si>
    <t xml:space="preserve">30 % Advance, Remaning Against Document within 7 </t>
  </si>
  <si>
    <t>30% Advance and Remaining Against BL within 7 days</t>
  </si>
  <si>
    <t>Wooden Crate Packing</t>
  </si>
  <si>
    <t>ACCOUNT NAME :  BK ROCKSTONE PVT LTD</t>
  </si>
  <si>
    <t>BANK NAME : BANK OF BARODA</t>
  </si>
  <si>
    <t>ACCOUNT NUMBER :  14970200000778</t>
  </si>
  <si>
    <t>SWIFT CODE : BARBINBBVAT</t>
  </si>
  <si>
    <t>IFSC CODE :  BARBOMANEAS (fifth digit zero)</t>
  </si>
  <si>
    <t>BRANCH : MANINAGAR (EAST)</t>
  </si>
  <si>
    <t>Bank Details</t>
  </si>
  <si>
    <t xml:space="preserve">90/3, NR. BRAMBHANI ICE FACTORY, NR. RADHIKA SOCIETY,  JASHODANAGAR CANAL ROAD, CTM CHAR RASTA, AHMEDABAD, AHMEDABAD, GUJARAT, 380026.
Email: info@bkrockstone.com
Website: www.bkrockstone.com
GST: 24AANCB5070H1ZO
Contact No: +919537651265, +91926580144
</t>
  </si>
  <si>
    <t>*  We declare that this invoice shows the actual price of the goods described and that all particulars are true and correct.</t>
  </si>
  <si>
    <t>Terms of Delivery</t>
  </si>
  <si>
    <t>WOODEN CRATE PACKING</t>
  </si>
  <si>
    <t>90/3, NR. BRAMBHANI ICE FACTORY, NR. RADHIKA SOCIETY,  JASHODANAGAR CANAL ROAD, CTM CHAR RASTA, AHMEDABAD, AHMEDABAD, GUJARAT, 380026.
Website: www.bkrockstone.com
Email: info@bkrockstone.com
Contact No: +919537651265, +919265280144</t>
  </si>
  <si>
    <t>27000 kgs</t>
  </si>
  <si>
    <t>27000kgs</t>
  </si>
  <si>
    <t>buyer</t>
  </si>
  <si>
    <t>supplier</t>
  </si>
  <si>
    <t xml:space="preserve"> PO03.1/25-26</t>
  </si>
  <si>
    <t>SREE GEETHA GRANITES</t>
  </si>
  <si>
    <t>SY NO 137/A3, GURRALAPADU (V)
 KHAMMAM ( R ), TELANGANA, INDIA
 GST: 36ACAFS6645P1ZH</t>
  </si>
  <si>
    <t>03</t>
  </si>
  <si>
    <t>PI0411/25-26</t>
  </si>
  <si>
    <t>CALLAO</t>
  </si>
  <si>
    <t>PERU</t>
  </si>
  <si>
    <t>MSDU2926407</t>
  </si>
  <si>
    <t xml:space="preserve"> PO03.2/25-26</t>
  </si>
  <si>
    <t>SRI VENKATESWARA GRANITES</t>
  </si>
  <si>
    <t>SY NO:92/2A,BUDAWADA(VIL),.      
CHIMAKURTHY(M.D), PRAKASAM(DIST),                                    GSTIN:37ABXFS9185N1ZP</t>
  </si>
  <si>
    <t>SQ FT</t>
  </si>
  <si>
    <t>EXTRA</t>
  </si>
  <si>
    <t>GOMEZ STONE S.A.C.
20612508659
MZA. C LOTE. 13 ASC. VIRGEN DEL ROSARIO DE COPACABANA (MERCADO HUAMANTANGA) LIMA - LIMA - PUENTE PIEDRA</t>
  </si>
  <si>
    <t>MEGA FREIGHT INTERNATIONAL PERU S.A.C.
20511174768 
AV. ELMER FAUCETT CON TOMAS VALLE NRO. SN CENTRO AEREO COMERCIAL (SECTOR B OF 203 II ETAPA-C.AEREO COMERC) PROV. CONST. DEL CALLAO - CALLAO
(51-1) 456-3531 / (51-1)484-8023
ORFELA OJEDA / RENZO SEGURA
carga.operaciones@megafreightperu.com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</si>
</sst>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</numFmts>
  <fonts count="2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</font>
    <font>
      <b/>
      <sz val="11"/>
      <color theme="1"/>
      <name val="Calibri"/>
      <family val="2"/>
      <scheme val="minor"/>
    </font>
    <font>
      <sz val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335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12" xfId="0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/>
    <xf numFmtId="0" fontId="6" fillId="0" borderId="1" xfId="0" applyFont="1" applyBorder="1"/>
    <xf numFmtId="0" fontId="6" fillId="0" borderId="2" xfId="0" applyFont="1" applyBorder="1"/>
    <xf numFmtId="0" fontId="4" fillId="0" borderId="5" xfId="0" applyFont="1" applyBorder="1"/>
    <xf numFmtId="0" fontId="15" fillId="0" borderId="5" xfId="0" applyFont="1" applyBorder="1"/>
    <xf numFmtId="0" fontId="15" fillId="0" borderId="0" xfId="0" applyFont="1"/>
    <xf numFmtId="0" fontId="6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4" xfId="0" applyFont="1" applyBorder="1"/>
    <xf numFmtId="0" fontId="18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65" fontId="15" fillId="0" borderId="0" xfId="0" applyNumberFormat="1" applyFont="1"/>
    <xf numFmtId="0" fontId="3" fillId="0" borderId="0" xfId="0" applyFont="1"/>
    <xf numFmtId="0" fontId="0" fillId="0" borderId="0" xfId="0" applyFont="1" applyAlignment="1"/>
    <xf numFmtId="167" fontId="6" fillId="0" borderId="0" xfId="0" applyNumberFormat="1" applyFont="1" applyAlignment="1">
      <alignment horizontal="left"/>
    </xf>
    <xf numFmtId="0" fontId="2" fillId="0" borderId="0" xfId="0" applyFont="1" applyAlignment="1"/>
    <xf numFmtId="0" fontId="6" fillId="0" borderId="14" xfId="0" applyFont="1" applyBorder="1"/>
    <xf numFmtId="0" fontId="6" fillId="0" borderId="17" xfId="0" applyFont="1" applyBorder="1"/>
    <xf numFmtId="0" fontId="6" fillId="0" borderId="15" xfId="0" applyFont="1" applyBorder="1"/>
    <xf numFmtId="0" fontId="0" fillId="0" borderId="0" xfId="0" applyFont="1" applyAlignment="1"/>
    <xf numFmtId="0" fontId="4" fillId="0" borderId="32" xfId="0" applyFont="1" applyBorder="1"/>
    <xf numFmtId="0" fontId="6" fillId="0" borderId="39" xfId="0" applyFont="1" applyBorder="1"/>
    <xf numFmtId="0" fontId="6" fillId="0" borderId="42" xfId="0" applyFont="1" applyBorder="1"/>
    <xf numFmtId="0" fontId="6" fillId="0" borderId="30" xfId="0" applyFont="1" applyBorder="1"/>
    <xf numFmtId="0" fontId="6" fillId="0" borderId="31" xfId="0" applyFont="1" applyBorder="1"/>
    <xf numFmtId="0" fontId="6" fillId="0" borderId="13" xfId="0" applyFont="1" applyBorder="1"/>
    <xf numFmtId="0" fontId="6" fillId="0" borderId="33" xfId="0" applyFont="1" applyBorder="1"/>
    <xf numFmtId="0" fontId="0" fillId="0" borderId="0" xfId="0" applyFont="1" applyAlignment="1"/>
    <xf numFmtId="0" fontId="6" fillId="0" borderId="43" xfId="0" applyFont="1" applyBorder="1"/>
    <xf numFmtId="0" fontId="4" fillId="0" borderId="33" xfId="0" applyFont="1" applyBorder="1" applyAlignment="1"/>
    <xf numFmtId="0" fontId="4" fillId="0" borderId="29" xfId="0" applyFont="1" applyBorder="1"/>
    <xf numFmtId="0" fontId="6" fillId="0" borderId="0" xfId="0" applyFont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center"/>
    </xf>
    <xf numFmtId="4" fontId="0" fillId="0" borderId="0" xfId="0" applyNumberFormat="1" applyFont="1" applyAlignment="1">
      <alignment vertical="top"/>
    </xf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horizontal="center"/>
    </xf>
    <xf numFmtId="0" fontId="6" fillId="0" borderId="41" xfId="0" applyFont="1" applyBorder="1"/>
    <xf numFmtId="0" fontId="6" fillId="0" borderId="32" xfId="0" applyFont="1" applyBorder="1"/>
    <xf numFmtId="0" fontId="6" fillId="0" borderId="47" xfId="0" applyFont="1" applyBorder="1" applyAlignment="1">
      <alignment horizontal="center"/>
    </xf>
    <xf numFmtId="0" fontId="6" fillId="0" borderId="48" xfId="0" applyFont="1" applyBorder="1"/>
    <xf numFmtId="0" fontId="1" fillId="0" borderId="0" xfId="0" applyFont="1"/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6" fillId="0" borderId="37" xfId="0" applyFont="1" applyBorder="1"/>
    <xf numFmtId="0" fontId="15" fillId="0" borderId="13" xfId="0" applyFont="1" applyBorder="1"/>
    <xf numFmtId="0" fontId="15" fillId="0" borderId="14" xfId="0" applyFont="1" applyBorder="1"/>
    <xf numFmtId="0" fontId="15" fillId="0" borderId="33" xfId="0" applyFont="1" applyBorder="1"/>
    <xf numFmtId="0" fontId="6" fillId="0" borderId="44" xfId="0" applyFont="1" applyBorder="1"/>
    <xf numFmtId="0" fontId="4" fillId="0" borderId="4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49" xfId="0" applyFont="1" applyBorder="1"/>
    <xf numFmtId="0" fontId="4" fillId="0" borderId="32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33" xfId="0" applyFont="1" applyBorder="1" applyAlignment="1">
      <alignment horizontal="left"/>
    </xf>
    <xf numFmtId="0" fontId="4" fillId="0" borderId="34" xfId="0" applyFont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6" fillId="0" borderId="35" xfId="0" applyFont="1" applyBorder="1" applyAlignment="1">
      <alignment horizontal="left"/>
    </xf>
    <xf numFmtId="0" fontId="0" fillId="0" borderId="0" xfId="0" applyFont="1" applyAlignment="1"/>
    <xf numFmtId="0" fontId="0" fillId="0" borderId="14" xfId="0" applyFont="1" applyBorder="1" applyAlignment="1"/>
    <xf numFmtId="165" fontId="6" fillId="0" borderId="0" xfId="0" applyNumberFormat="1" applyFont="1" applyAlignment="1">
      <alignment horizontal="left" vertical="top" wrapText="1"/>
    </xf>
    <xf numFmtId="0" fontId="4" fillId="0" borderId="0" xfId="0" applyFont="1" applyAlignment="1">
      <alignment vertical="top"/>
    </xf>
    <xf numFmtId="0" fontId="4" fillId="3" borderId="14" xfId="0" applyFont="1" applyFill="1" applyBorder="1" applyAlignment="1">
      <alignment vertical="top"/>
    </xf>
    <xf numFmtId="0" fontId="4" fillId="3" borderId="33" xfId="0" applyFont="1" applyFill="1" applyBorder="1" applyAlignment="1">
      <alignment vertical="top"/>
    </xf>
    <xf numFmtId="0" fontId="6" fillId="0" borderId="29" xfId="0" applyFont="1" applyBorder="1"/>
    <xf numFmtId="0" fontId="6" fillId="0" borderId="34" xfId="0" applyFont="1" applyBorder="1"/>
    <xf numFmtId="0" fontId="0" fillId="0" borderId="32" xfId="0" applyFont="1" applyBorder="1" applyAlignment="1"/>
    <xf numFmtId="0" fontId="0" fillId="0" borderId="38" xfId="0" applyFont="1" applyBorder="1" applyAlignment="1"/>
    <xf numFmtId="0" fontId="4" fillId="3" borderId="39" xfId="0" applyFont="1" applyFill="1" applyBorder="1" applyAlignment="1">
      <alignment vertical="top"/>
    </xf>
    <xf numFmtId="0" fontId="0" fillId="0" borderId="39" xfId="0" applyFont="1" applyBorder="1" applyAlignment="1"/>
    <xf numFmtId="0" fontId="4" fillId="3" borderId="43" xfId="0" applyFont="1" applyFill="1" applyBorder="1" applyAlignment="1">
      <alignment vertical="top"/>
    </xf>
    <xf numFmtId="1" fontId="0" fillId="0" borderId="0" xfId="0" applyNumberFormat="1" applyFont="1" applyAlignment="1">
      <alignment vertical="top"/>
    </xf>
    <xf numFmtId="2" fontId="0" fillId="0" borderId="0" xfId="0" applyNumberFormat="1" applyFont="1" applyAlignment="1"/>
    <xf numFmtId="0" fontId="6" fillId="0" borderId="4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5" fillId="0" borderId="59" xfId="0" applyFont="1" applyBorder="1" applyAlignment="1"/>
    <xf numFmtId="166" fontId="6" fillId="0" borderId="60" xfId="0" applyNumberFormat="1" applyFont="1" applyBorder="1" applyAlignment="1">
      <alignment horizontal="center"/>
    </xf>
    <xf numFmtId="0" fontId="5" fillId="0" borderId="66" xfId="0" applyFont="1" applyBorder="1" applyAlignment="1"/>
    <xf numFmtId="166" fontId="6" fillId="0" borderId="66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0" xfId="0" applyFont="1" applyAlignment="1">
      <alignment horizontal="left" vertical="top"/>
    </xf>
    <xf numFmtId="0" fontId="0" fillId="0" borderId="0" xfId="0" applyFont="1" applyAlignment="1">
      <alignment vertical="top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NumberFormat="1" applyFont="1" applyAlignment="1"/>
    <xf numFmtId="0" fontId="4" fillId="0" borderId="42" xfId="0" applyFont="1" applyBorder="1" applyAlignment="1">
      <alignment horizontal="left" vertical="center" wrapText="1"/>
    </xf>
    <xf numFmtId="0" fontId="4" fillId="0" borderId="30" xfId="0" applyFont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8" fillId="0" borderId="13" xfId="0" applyFont="1" applyBorder="1" applyAlignment="1">
      <alignment horizontal="left" vertical="top" wrapText="1"/>
    </xf>
    <xf numFmtId="0" fontId="8" fillId="0" borderId="14" xfId="0" applyFont="1" applyBorder="1" applyAlignment="1">
      <alignment horizontal="left" vertical="top" wrapText="1"/>
    </xf>
    <xf numFmtId="0" fontId="8" fillId="0" borderId="33" xfId="0" applyFont="1" applyBorder="1" applyAlignment="1">
      <alignment horizontal="left" vertical="top" wrapText="1"/>
    </xf>
    <xf numFmtId="0" fontId="8" fillId="0" borderId="16" xfId="0" applyFont="1" applyBorder="1" applyAlignment="1">
      <alignment horizontal="left" vertical="top" wrapText="1"/>
    </xf>
    <xf numFmtId="0" fontId="8" fillId="0" borderId="17" xfId="0" applyFont="1" applyBorder="1" applyAlignment="1">
      <alignment horizontal="left" vertical="top" wrapText="1"/>
    </xf>
    <xf numFmtId="0" fontId="8" fillId="0" borderId="35" xfId="0" applyFont="1" applyBorder="1" applyAlignment="1">
      <alignment horizontal="left" vertical="top" wrapText="1"/>
    </xf>
    <xf numFmtId="0" fontId="9" fillId="0" borderId="32" xfId="0" applyFont="1" applyBorder="1" applyAlignment="1">
      <alignment horizontal="left" vertical="top" wrapText="1"/>
    </xf>
    <xf numFmtId="0" fontId="9" fillId="0" borderId="14" xfId="0" applyFont="1" applyBorder="1" applyAlignment="1">
      <alignment horizontal="left" vertical="top" wrapText="1"/>
    </xf>
    <xf numFmtId="0" fontId="9" fillId="0" borderId="38" xfId="0" applyFont="1" applyBorder="1" applyAlignment="1">
      <alignment horizontal="left" vertical="top" wrapText="1"/>
    </xf>
    <xf numFmtId="0" fontId="9" fillId="0" borderId="39" xfId="0" applyFont="1" applyBorder="1" applyAlignment="1">
      <alignment horizontal="left" vertical="top" wrapText="1"/>
    </xf>
    <xf numFmtId="0" fontId="4" fillId="3" borderId="29" xfId="0" applyFont="1" applyFill="1" applyBorder="1" applyAlignment="1">
      <alignment horizontal="left" vertical="top"/>
    </xf>
    <xf numFmtId="0" fontId="4" fillId="3" borderId="30" xfId="0" applyFont="1" applyFill="1" applyBorder="1" applyAlignment="1">
      <alignment horizontal="left" vertical="top"/>
    </xf>
    <xf numFmtId="0" fontId="4" fillId="3" borderId="31" xfId="0" applyFont="1" applyFill="1" applyBorder="1" applyAlignment="1">
      <alignment horizontal="left" vertical="top"/>
    </xf>
    <xf numFmtId="0" fontId="13" fillId="0" borderId="50" xfId="0" applyFont="1" applyBorder="1" applyAlignment="1">
      <alignment horizontal="left"/>
    </xf>
    <xf numFmtId="0" fontId="13" fillId="0" borderId="51" xfId="0" applyFont="1" applyBorder="1" applyAlignment="1">
      <alignment horizontal="left"/>
    </xf>
    <xf numFmtId="0" fontId="13" fillId="0" borderId="52" xfId="0" applyFont="1" applyBorder="1" applyAlignment="1">
      <alignment horizontal="left"/>
    </xf>
    <xf numFmtId="0" fontId="4" fillId="0" borderId="53" xfId="0" applyFont="1" applyBorder="1" applyAlignment="1">
      <alignment horizontal="left"/>
    </xf>
    <xf numFmtId="0" fontId="4" fillId="0" borderId="51" xfId="0" applyFont="1" applyBorder="1" applyAlignment="1">
      <alignment horizontal="left"/>
    </xf>
    <xf numFmtId="0" fontId="4" fillId="0" borderId="54" xfId="0" applyFont="1" applyBorder="1" applyAlignment="1">
      <alignment horizontal="left"/>
    </xf>
    <xf numFmtId="0" fontId="6" fillId="0" borderId="56" xfId="0" applyFont="1" applyBorder="1" applyAlignment="1">
      <alignment horizontal="left"/>
    </xf>
    <xf numFmtId="0" fontId="8" fillId="0" borderId="57" xfId="0" applyFont="1" applyBorder="1" applyAlignment="1">
      <alignment horizontal="left"/>
    </xf>
    <xf numFmtId="0" fontId="8" fillId="0" borderId="58" xfId="0" applyFont="1" applyBorder="1" applyAlignment="1">
      <alignment horizontal="left"/>
    </xf>
    <xf numFmtId="2" fontId="6" fillId="0" borderId="57" xfId="0" applyNumberFormat="1" applyFont="1" applyBorder="1" applyAlignment="1">
      <alignment horizontal="center"/>
    </xf>
    <xf numFmtId="2" fontId="8" fillId="0" borderId="58" xfId="0" applyNumberFormat="1" applyFont="1" applyBorder="1" applyAlignment="1">
      <alignment horizontal="center"/>
    </xf>
    <xf numFmtId="166" fontId="6" fillId="0" borderId="61" xfId="0" applyNumberFormat="1" applyFont="1" applyBorder="1" applyAlignment="1">
      <alignment horizontal="center"/>
    </xf>
    <xf numFmtId="0" fontId="8" fillId="0" borderId="62" xfId="0" applyFont="1" applyBorder="1"/>
    <xf numFmtId="0" fontId="6" fillId="0" borderId="63" xfId="0" applyFont="1" applyBorder="1" applyAlignment="1">
      <alignment horizontal="left"/>
    </xf>
    <xf numFmtId="0" fontId="8" fillId="0" borderId="64" xfId="0" applyFont="1" applyBorder="1" applyAlignment="1">
      <alignment horizontal="left"/>
    </xf>
    <xf numFmtId="0" fontId="8" fillId="0" borderId="65" xfId="0" applyFont="1" applyBorder="1" applyAlignment="1">
      <alignment horizontal="left"/>
    </xf>
    <xf numFmtId="2" fontId="6" fillId="0" borderId="64" xfId="0" applyNumberFormat="1" applyFont="1" applyBorder="1" applyAlignment="1">
      <alignment horizontal="center"/>
    </xf>
    <xf numFmtId="2" fontId="8" fillId="0" borderId="65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vertical="center"/>
    </xf>
    <xf numFmtId="0" fontId="8" fillId="0" borderId="46" xfId="0" applyFont="1" applyBorder="1"/>
    <xf numFmtId="0" fontId="4" fillId="0" borderId="2" xfId="0" applyFont="1" applyBorder="1" applyAlignment="1">
      <alignment horizontal="center" vertical="center"/>
    </xf>
    <xf numFmtId="0" fontId="8" fillId="0" borderId="3" xfId="0" applyFont="1" applyBorder="1"/>
    <xf numFmtId="0" fontId="8" fillId="0" borderId="4" xfId="0" applyFont="1" applyBorder="1"/>
    <xf numFmtId="0" fontId="8" fillId="0" borderId="13" xfId="0" applyFont="1" applyBorder="1"/>
    <xf numFmtId="0" fontId="0" fillId="0" borderId="14" xfId="0" applyFont="1" applyBorder="1" applyAlignment="1"/>
    <xf numFmtId="0" fontId="8" fillId="0" borderId="15" xfId="0" applyFont="1" applyBorder="1"/>
    <xf numFmtId="0" fontId="4" fillId="0" borderId="12" xfId="0" applyFont="1" applyBorder="1" applyAlignment="1">
      <alignment horizontal="center" vertical="center"/>
    </xf>
    <xf numFmtId="0" fontId="8" fillId="0" borderId="55" xfId="0" applyFont="1" applyBorder="1"/>
    <xf numFmtId="0" fontId="4" fillId="0" borderId="2" xfId="0" applyFont="1" applyBorder="1" applyAlignment="1">
      <alignment horizontal="center"/>
    </xf>
    <xf numFmtId="0" fontId="6" fillId="0" borderId="29" xfId="0" applyFont="1" applyBorder="1" applyAlignment="1">
      <alignment horizontal="left" wrapText="1"/>
    </xf>
    <xf numFmtId="0" fontId="6" fillId="0" borderId="30" xfId="0" applyFont="1" applyBorder="1" applyAlignment="1">
      <alignment horizontal="left" wrapText="1"/>
    </xf>
    <xf numFmtId="0" fontId="6" fillId="0" borderId="41" xfId="0" applyFont="1" applyBorder="1" applyAlignment="1">
      <alignment horizontal="left" wrapText="1"/>
    </xf>
    <xf numFmtId="0" fontId="6" fillId="0" borderId="32" xfId="0" applyFont="1" applyBorder="1" applyAlignment="1">
      <alignment horizontal="left" wrapText="1"/>
    </xf>
    <xf numFmtId="0" fontId="6" fillId="0" borderId="14" xfId="0" applyFont="1" applyBorder="1" applyAlignment="1">
      <alignment horizontal="left" wrapText="1"/>
    </xf>
    <xf numFmtId="0" fontId="6" fillId="0" borderId="15" xfId="0" applyFont="1" applyBorder="1" applyAlignment="1">
      <alignment horizontal="left" wrapText="1"/>
    </xf>
    <xf numFmtId="0" fontId="14" fillId="0" borderId="32" xfId="0" applyFont="1" applyBorder="1" applyAlignment="1">
      <alignment horizontal="left" vertical="top" wrapText="1"/>
    </xf>
    <xf numFmtId="0" fontId="14" fillId="0" borderId="14" xfId="0" applyFont="1" applyBorder="1" applyAlignment="1">
      <alignment horizontal="left" vertical="top" wrapText="1"/>
    </xf>
    <xf numFmtId="0" fontId="14" fillId="0" borderId="15" xfId="0" applyFont="1" applyBorder="1" applyAlignment="1">
      <alignment horizontal="left" vertical="top" wrapText="1"/>
    </xf>
    <xf numFmtId="0" fontId="14" fillId="0" borderId="38" xfId="0" applyFont="1" applyBorder="1" applyAlignment="1">
      <alignment horizontal="left" vertical="top" wrapText="1"/>
    </xf>
    <xf numFmtId="0" fontId="14" fillId="0" borderId="39" xfId="0" applyFont="1" applyBorder="1" applyAlignment="1">
      <alignment horizontal="left" vertical="top" wrapText="1"/>
    </xf>
    <xf numFmtId="0" fontId="14" fillId="0" borderId="40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center"/>
    </xf>
    <xf numFmtId="166" fontId="12" fillId="0" borderId="14" xfId="0" applyNumberFormat="1" applyFont="1" applyBorder="1" applyAlignment="1">
      <alignment horizontal="center" vertical="center"/>
    </xf>
    <xf numFmtId="0" fontId="8" fillId="0" borderId="33" xfId="0" applyFont="1" applyBorder="1"/>
    <xf numFmtId="0" fontId="8" fillId="0" borderId="14" xfId="0" applyFont="1" applyBorder="1"/>
    <xf numFmtId="0" fontId="4" fillId="0" borderId="32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33" xfId="0" applyFont="1" applyBorder="1" applyAlignment="1">
      <alignment horizontal="left"/>
    </xf>
    <xf numFmtId="0" fontId="8" fillId="0" borderId="37" xfId="0" applyFont="1" applyBorder="1"/>
    <xf numFmtId="0" fontId="4" fillId="0" borderId="13" xfId="0" applyFont="1" applyBorder="1" applyAlignment="1">
      <alignment horizontal="center"/>
    </xf>
    <xf numFmtId="0" fontId="11" fillId="0" borderId="13" xfId="0" applyFont="1" applyBorder="1" applyAlignment="1">
      <alignment horizontal="center" vertical="center"/>
    </xf>
    <xf numFmtId="0" fontId="8" fillId="0" borderId="16" xfId="0" applyFont="1" applyBorder="1"/>
    <xf numFmtId="0" fontId="8" fillId="0" borderId="17" xfId="0" applyFont="1" applyBorder="1"/>
    <xf numFmtId="0" fontId="8" fillId="0" borderId="35" xfId="0" applyFont="1" applyBorder="1"/>
    <xf numFmtId="0" fontId="4" fillId="0" borderId="32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8" fillId="0" borderId="18" xfId="0" applyFont="1" applyBorder="1"/>
    <xf numFmtId="0" fontId="4" fillId="0" borderId="16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8" fillId="0" borderId="30" xfId="0" applyFont="1" applyBorder="1"/>
    <xf numFmtId="0" fontId="8" fillId="0" borderId="31" xfId="0" applyFont="1" applyBorder="1"/>
    <xf numFmtId="0" fontId="4" fillId="0" borderId="30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6" fillId="0" borderId="32" xfId="0" applyFont="1" applyBorder="1" applyAlignment="1">
      <alignment horizontal="left" vertical="top" wrapText="1"/>
    </xf>
    <xf numFmtId="0" fontId="8" fillId="0" borderId="32" xfId="0" applyFont="1" applyBorder="1"/>
    <xf numFmtId="0" fontId="8" fillId="0" borderId="34" xfId="0" applyFont="1" applyBorder="1"/>
    <xf numFmtId="0" fontId="10" fillId="0" borderId="36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2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 wrapText="1"/>
    </xf>
    <xf numFmtId="0" fontId="8" fillId="0" borderId="38" xfId="0" applyFont="1" applyBorder="1"/>
    <xf numFmtId="0" fontId="8" fillId="0" borderId="39" xfId="0" applyFont="1" applyBorder="1"/>
    <xf numFmtId="0" fontId="8" fillId="0" borderId="43" xfId="0" applyFont="1" applyBorder="1"/>
    <xf numFmtId="0" fontId="21" fillId="0" borderId="14" xfId="0" applyFont="1" applyBorder="1" applyAlignment="1">
      <alignment horizontal="center" vertical="center" wrapText="1"/>
    </xf>
    <xf numFmtId="0" fontId="22" fillId="0" borderId="14" xfId="0" applyFont="1" applyBorder="1" applyAlignment="1"/>
    <xf numFmtId="0" fontId="23" fillId="0" borderId="33" xfId="0" applyFont="1" applyBorder="1"/>
    <xf numFmtId="0" fontId="23" fillId="0" borderId="39" xfId="0" applyFont="1" applyBorder="1"/>
    <xf numFmtId="0" fontId="23" fillId="0" borderId="43" xfId="0" applyFont="1" applyBorder="1"/>
    <xf numFmtId="0" fontId="6" fillId="0" borderId="16" xfId="0" applyFont="1" applyBorder="1" applyAlignment="1">
      <alignment horizontal="center"/>
    </xf>
    <xf numFmtId="165" fontId="4" fillId="0" borderId="16" xfId="0" applyNumberFormat="1" applyFont="1" applyBorder="1" applyAlignment="1">
      <alignment horizontal="center"/>
    </xf>
    <xf numFmtId="0" fontId="20" fillId="0" borderId="14" xfId="0" applyFont="1" applyBorder="1"/>
    <xf numFmtId="0" fontId="20" fillId="0" borderId="15" xfId="0" applyFont="1" applyBorder="1"/>
    <xf numFmtId="0" fontId="7" fillId="0" borderId="14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/>
    </xf>
    <xf numFmtId="0" fontId="8" fillId="0" borderId="41" xfId="0" applyFont="1" applyBorder="1"/>
    <xf numFmtId="164" fontId="6" fillId="0" borderId="16" xfId="0" applyNumberFormat="1" applyFont="1" applyBorder="1" applyAlignment="1">
      <alignment horizontal="center"/>
    </xf>
    <xf numFmtId="168" fontId="6" fillId="0" borderId="16" xfId="0" applyNumberFormat="1" applyFont="1" applyBorder="1" applyAlignment="1">
      <alignment horizontal="center"/>
    </xf>
    <xf numFmtId="168" fontId="8" fillId="0" borderId="17" xfId="0" applyNumberFormat="1" applyFont="1" applyBorder="1"/>
    <xf numFmtId="168" fontId="8" fillId="0" borderId="35" xfId="0" applyNumberFormat="1" applyFont="1" applyBorder="1"/>
    <xf numFmtId="0" fontId="6" fillId="0" borderId="9" xfId="0" applyFont="1" applyBorder="1" applyAlignment="1">
      <alignment horizontal="center"/>
    </xf>
    <xf numFmtId="0" fontId="8" fillId="0" borderId="11" xfId="0" applyFont="1" applyBorder="1"/>
    <xf numFmtId="0" fontId="6" fillId="0" borderId="9" xfId="0" applyFont="1" applyBorder="1" applyAlignment="1">
      <alignment horizontal="left"/>
    </xf>
    <xf numFmtId="0" fontId="8" fillId="0" borderId="10" xfId="0" applyFont="1" applyBorder="1"/>
    <xf numFmtId="2" fontId="6" fillId="0" borderId="9" xfId="0" applyNumberFormat="1" applyFont="1" applyBorder="1" applyAlignment="1">
      <alignment horizontal="center"/>
    </xf>
    <xf numFmtId="0" fontId="8" fillId="0" borderId="44" xfId="0" applyFont="1" applyBorder="1"/>
    <xf numFmtId="2" fontId="4" fillId="0" borderId="10" xfId="0" applyNumberFormat="1" applyFont="1" applyBorder="1" applyAlignment="1">
      <alignment horizontal="center"/>
    </xf>
    <xf numFmtId="0" fontId="14" fillId="0" borderId="29" xfId="0" applyFont="1" applyBorder="1" applyAlignment="1">
      <alignment horizontal="center" vertical="center" wrapText="1"/>
    </xf>
    <xf numFmtId="0" fontId="14" fillId="0" borderId="41" xfId="0" applyFont="1" applyBorder="1" applyAlignment="1">
      <alignment horizontal="center" vertical="center" wrapText="1"/>
    </xf>
    <xf numFmtId="0" fontId="14" fillId="0" borderId="42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/>
    </xf>
    <xf numFmtId="0" fontId="20" fillId="0" borderId="15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4" fillId="0" borderId="32" xfId="0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top" wrapText="1"/>
    </xf>
    <xf numFmtId="0" fontId="4" fillId="0" borderId="33" xfId="0" applyFont="1" applyBorder="1" applyAlignment="1">
      <alignment horizontal="left" vertical="top" wrapText="1"/>
    </xf>
    <xf numFmtId="0" fontId="4" fillId="0" borderId="38" xfId="0" applyFont="1" applyBorder="1" applyAlignment="1">
      <alignment horizontal="left" vertical="top" wrapText="1"/>
    </xf>
    <xf numFmtId="0" fontId="4" fillId="0" borderId="39" xfId="0" applyFont="1" applyBorder="1" applyAlignment="1">
      <alignment horizontal="left" vertical="top" wrapText="1"/>
    </xf>
    <xf numFmtId="0" fontId="4" fillId="0" borderId="43" xfId="0" applyFont="1" applyBorder="1" applyAlignment="1">
      <alignment horizontal="left" vertical="top" wrapText="1"/>
    </xf>
    <xf numFmtId="0" fontId="4" fillId="0" borderId="34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14" fillId="0" borderId="36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14" fillId="0" borderId="30" xfId="0" applyFont="1" applyBorder="1" applyAlignment="1">
      <alignment horizontal="center" vertical="center" wrapText="1"/>
    </xf>
    <xf numFmtId="0" fontId="14" fillId="0" borderId="31" xfId="0" applyFont="1" applyBorder="1" applyAlignment="1">
      <alignment horizontal="center" vertical="center" wrapText="1"/>
    </xf>
    <xf numFmtId="0" fontId="24" fillId="0" borderId="32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25" fillId="0" borderId="29" xfId="0" applyFont="1" applyBorder="1" applyAlignment="1">
      <alignment horizontal="center"/>
    </xf>
    <xf numFmtId="0" fontId="25" fillId="0" borderId="30" xfId="0" applyFont="1" applyBorder="1" applyAlignment="1">
      <alignment horizontal="center"/>
    </xf>
    <xf numFmtId="0" fontId="6" fillId="0" borderId="14" xfId="0" applyFont="1" applyBorder="1" applyAlignment="1">
      <alignment horizontal="left" vertical="top" wrapText="1"/>
    </xf>
    <xf numFmtId="0" fontId="6" fillId="0" borderId="15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left" vertical="top" wrapText="1"/>
    </xf>
    <xf numFmtId="0" fontId="6" fillId="0" borderId="17" xfId="0" applyFont="1" applyBorder="1" applyAlignment="1">
      <alignment horizontal="left" vertical="top" wrapText="1"/>
    </xf>
    <xf numFmtId="0" fontId="6" fillId="0" borderId="18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6" fillId="0" borderId="36" xfId="0" applyFont="1" applyBorder="1" applyAlignment="1">
      <alignment horizontal="left"/>
    </xf>
    <xf numFmtId="0" fontId="4" fillId="0" borderId="14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 wrapText="1"/>
    </xf>
    <xf numFmtId="0" fontId="4" fillId="0" borderId="43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0" fillId="0" borderId="0" xfId="0" applyFont="1" applyAlignment="1"/>
    <xf numFmtId="0" fontId="4" fillId="0" borderId="29" xfId="0" applyFont="1" applyBorder="1" applyAlignment="1">
      <alignment horizontal="left"/>
    </xf>
    <xf numFmtId="0" fontId="6" fillId="0" borderId="42" xfId="0" applyFont="1" applyBorder="1" applyAlignment="1">
      <alignment horizontal="center"/>
    </xf>
    <xf numFmtId="0" fontId="15" fillId="0" borderId="32" xfId="0" applyFont="1" applyBorder="1" applyAlignment="1">
      <alignment horizontal="left"/>
    </xf>
    <xf numFmtId="0" fontId="14" fillId="2" borderId="38" xfId="0" applyFont="1" applyFill="1" applyBorder="1" applyAlignment="1">
      <alignment horizontal="left" vertical="top"/>
    </xf>
    <xf numFmtId="0" fontId="8" fillId="0" borderId="40" xfId="0" applyFont="1" applyBorder="1"/>
    <xf numFmtId="0" fontId="6" fillId="0" borderId="48" xfId="0" applyFont="1" applyBorder="1" applyAlignment="1">
      <alignment horizontal="left"/>
    </xf>
    <xf numFmtId="0" fontId="6" fillId="0" borderId="14" xfId="0" applyFont="1" applyBorder="1" applyAlignment="1">
      <alignment horizontal="center" vertical="top"/>
    </xf>
    <xf numFmtId="0" fontId="4" fillId="0" borderId="36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8" fillId="0" borderId="6" xfId="0" applyFont="1" applyBorder="1"/>
    <xf numFmtId="0" fontId="6" fillId="0" borderId="7" xfId="0" applyFont="1" applyBorder="1" applyAlignment="1">
      <alignment horizontal="center" wrapText="1"/>
    </xf>
    <xf numFmtId="0" fontId="8" fillId="0" borderId="1" xfId="0" applyFont="1" applyBorder="1"/>
    <xf numFmtId="0" fontId="8" fillId="0" borderId="8" xfId="0" applyFont="1" applyBorder="1"/>
    <xf numFmtId="0" fontId="17" fillId="0" borderId="5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9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/>
    </xf>
    <xf numFmtId="0" fontId="6" fillId="0" borderId="11" xfId="0" applyFont="1" applyBorder="1" applyAlignment="1">
      <alignment horizontal="left" vertical="top"/>
    </xf>
    <xf numFmtId="1" fontId="4" fillId="0" borderId="22" xfId="0" applyNumberFormat="1" applyFont="1" applyBorder="1" applyAlignment="1">
      <alignment horizontal="center"/>
    </xf>
    <xf numFmtId="0" fontId="8" fillId="0" borderId="23" xfId="0" applyFont="1" applyBorder="1"/>
    <xf numFmtId="0" fontId="15" fillId="0" borderId="5" xfId="0" applyFont="1" applyBorder="1" applyAlignment="1">
      <alignment horizontal="left"/>
    </xf>
    <xf numFmtId="0" fontId="6" fillId="0" borderId="5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4" fontId="4" fillId="0" borderId="0" xfId="0" applyNumberFormat="1" applyFont="1" applyAlignment="1">
      <alignment horizontal="left" vertical="top" wrapText="1"/>
    </xf>
    <xf numFmtId="1" fontId="4" fillId="0" borderId="27" xfId="0" applyNumberFormat="1" applyFont="1" applyBorder="1" applyAlignment="1">
      <alignment horizontal="center"/>
    </xf>
    <xf numFmtId="0" fontId="8" fillId="0" borderId="28" xfId="0" applyFont="1" applyBorder="1"/>
    <xf numFmtId="0" fontId="4" fillId="0" borderId="9" xfId="0" applyFont="1" applyBorder="1" applyAlignment="1">
      <alignment horizontal="center" vertical="top"/>
    </xf>
    <xf numFmtId="0" fontId="8" fillId="0" borderId="11" xfId="0" applyFont="1" applyBorder="1" applyAlignment="1">
      <alignment vertical="top"/>
    </xf>
    <xf numFmtId="4" fontId="4" fillId="0" borderId="9" xfId="0" applyNumberFormat="1" applyFont="1" applyBorder="1" applyAlignment="1">
      <alignment horizontal="center" vertical="top"/>
    </xf>
    <xf numFmtId="1" fontId="4" fillId="0" borderId="9" xfId="0" applyNumberFormat="1" applyFont="1" applyBorder="1" applyAlignment="1">
      <alignment horizontal="center" vertical="top"/>
    </xf>
    <xf numFmtId="0" fontId="6" fillId="0" borderId="7" xfId="0" applyFont="1" applyBorder="1" applyAlignment="1">
      <alignment horizontal="left"/>
    </xf>
    <xf numFmtId="0" fontId="15" fillId="0" borderId="20" xfId="0" applyFont="1" applyBorder="1" applyAlignment="1">
      <alignment horizontal="center"/>
    </xf>
    <xf numFmtId="0" fontId="8" fillId="0" borderId="21" xfId="0" applyFont="1" applyBorder="1"/>
    <xf numFmtId="0" fontId="19" fillId="0" borderId="5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8" fillId="0" borderId="26" xfId="0" applyFont="1" applyBorder="1"/>
    <xf numFmtId="0" fontId="8" fillId="0" borderId="19" xfId="0" applyFont="1" applyBorder="1"/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419100</xdr:colOff>
      <xdr:row>39</xdr:row>
      <xdr:rowOff>133350</xdr:rowOff>
    </xdr:from>
    <xdr:to>
      <xdr:col>9</xdr:col>
      <xdr:colOff>233293</xdr:colOff>
      <xdr:row>42</xdr:row>
      <xdr:rowOff>143258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329FE9-E2D3-468F-BD3A-EACC71C4F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0" y="7858125"/>
          <a:ext cx="2471668" cy="7052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295275</xdr:colOff>
      <xdr:row>33</xdr:row>
      <xdr:rowOff>1</xdr:rowOff>
    </xdr:from>
    <xdr:to>
      <xdr:col>9</xdr:col>
      <xdr:colOff>278942</xdr:colOff>
      <xdr:row>35</xdr:row>
      <xdr:rowOff>171451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60F988F7-BFF0-4A6F-BD07-B095EECE6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8639176"/>
          <a:ext cx="2002967" cy="571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38</xdr:row>
      <xdr:rowOff>9525</xdr:rowOff>
    </xdr:from>
    <xdr:to>
      <xdr:col>3</xdr:col>
      <xdr:colOff>383717</xdr:colOff>
      <xdr:row>40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27FF2BB4-E993-405A-9D15-4C7AF76AA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8486775"/>
          <a:ext cx="2002967" cy="571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264053</xdr:colOff>
      <xdr:row>38</xdr:row>
      <xdr:rowOff>0</xdr:rowOff>
    </xdr:from>
    <xdr:to>
      <xdr:col>3</xdr:col>
      <xdr:colOff>333375</xdr:colOff>
      <xdr:row>40</xdr:row>
      <xdr:rowOff>187746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EC6EAC24-3677-495D-AA2E-A483BEB54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078" y="8515350"/>
          <a:ext cx="1907647" cy="58779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2" sqref="B2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39" t="s">
        <v>101</v>
      </c>
      <c r="B2" s="70" t="s">
        <v>139</v>
      </c>
      <c r="C2" s="2" t="s">
        <v>5</v>
      </c>
      <c r="D2" s="2" t="s">
        <v>6</v>
      </c>
      <c r="E2" s="70" t="s">
        <v>137</v>
      </c>
    </row>
    <row r="3" spans="1:5" x14ac:dyDescent="0.25">
      <c r="B3" s="2" t="s">
        <v>7</v>
      </c>
      <c r="D3" s="2" t="s">
        <v>8</v>
      </c>
      <c r="E3" s="2" t="s">
        <v>9</v>
      </c>
    </row>
    <row r="4" spans="1:5" x14ac:dyDescent="0.25">
      <c r="B4" s="2" t="s">
        <v>10</v>
      </c>
      <c r="D4" s="2" t="s">
        <v>11</v>
      </c>
      <c r="E4" s="2" t="s">
        <v>12</v>
      </c>
    </row>
    <row r="5" spans="1:5" x14ac:dyDescent="0.25">
      <c r="E5" s="2" t="s">
        <v>13</v>
      </c>
    </row>
    <row r="6" spans="1:5" ht="15" customHeight="1" x14ac:dyDescent="0.25">
      <c r="E6" s="42" t="s">
        <v>102</v>
      </c>
    </row>
    <row r="7" spans="1:5" ht="15" customHeight="1" x14ac:dyDescent="0.25">
      <c r="E7" t="s">
        <v>138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999"/>
  <sheetViews>
    <sheetView topLeftCell="A7" workbookViewId="0">
      <selection activeCell="D10" sqref="D10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14</v>
      </c>
      <c r="B1" s="3" t="s">
        <v>101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15</v>
      </c>
      <c r="B2" s="5" t="s">
        <v>159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16</v>
      </c>
      <c r="B3" s="6" t="str">
        <f>"BK0" &amp; B2 &amp; "/" &amp; B1</f>
        <v>BK003/25-26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s="54" customFormat="1" x14ac:dyDescent="0.25">
      <c r="A4" s="1" t="s">
        <v>17</v>
      </c>
      <c r="B4" s="7">
        <v>46008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s="54" customFormat="1" x14ac:dyDescent="0.25">
      <c r="A5" s="1" t="s">
        <v>122</v>
      </c>
      <c r="B5" s="6" t="s">
        <v>160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25">
      <c r="A6" s="1" t="s">
        <v>18</v>
      </c>
      <c r="B6" s="7" t="str">
        <f>IF(B1="24-25","AD240424008317F",IF(B1="23-24","AD240322004861M",IF(B1="25-26","AD240725023182F",IF(B1="","select the financial year"))))</f>
        <v>AD240725023182F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s="40" customFormat="1" ht="149.25" customHeight="1" x14ac:dyDescent="0.25">
      <c r="A7" s="92" t="s">
        <v>42</v>
      </c>
      <c r="B7" s="91" t="s">
        <v>169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" customHeight="1" x14ac:dyDescent="0.25">
      <c r="A8" s="111" t="s">
        <v>19</v>
      </c>
      <c r="B8" s="113" t="s">
        <v>170</v>
      </c>
      <c r="C8" s="10"/>
      <c r="D8" s="10"/>
      <c r="E8" s="10"/>
      <c r="F8" s="10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0" customHeight="1" x14ac:dyDescent="0.25">
      <c r="A9" s="112"/>
      <c r="B9" s="114"/>
      <c r="C9" s="10"/>
      <c r="D9" s="10"/>
      <c r="E9" s="10"/>
      <c r="F9" s="10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35.25" customHeight="1" x14ac:dyDescent="0.25">
      <c r="A10" s="112"/>
      <c r="B10" s="114"/>
      <c r="C10" s="10"/>
      <c r="D10" s="10"/>
      <c r="E10" s="10"/>
      <c r="F10" s="10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12"/>
      <c r="B11" s="114"/>
      <c r="C11" s="10"/>
      <c r="D11" s="10"/>
      <c r="E11" s="10"/>
      <c r="F11" s="10"/>
      <c r="G11" s="4"/>
      <c r="H11" s="4"/>
      <c r="I11" s="4"/>
      <c r="J11" s="4"/>
      <c r="K11" s="4"/>
      <c r="L11" s="4"/>
      <c r="M11" s="4"/>
      <c r="N11" s="11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x14ac:dyDescent="0.25">
      <c r="A12" s="112"/>
      <c r="B12" s="114"/>
      <c r="C12" s="10"/>
      <c r="D12" s="10"/>
      <c r="E12" s="10"/>
      <c r="F12" s="10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112"/>
      <c r="B13" s="114"/>
      <c r="C13" s="10"/>
      <c r="D13" s="10"/>
      <c r="E13" s="10"/>
      <c r="F13" s="10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34.5" customHeight="1" x14ac:dyDescent="0.25">
      <c r="A14" s="8" t="s">
        <v>20</v>
      </c>
      <c r="B14" s="9">
        <v>1</v>
      </c>
      <c r="C14" s="10"/>
      <c r="D14" s="10"/>
      <c r="E14" s="10"/>
      <c r="F14" s="10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21</v>
      </c>
      <c r="B15" s="3" t="s">
        <v>139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22</v>
      </c>
      <c r="B16" s="3" t="s">
        <v>5</v>
      </c>
      <c r="C16" s="3"/>
      <c r="D16" s="3"/>
      <c r="E16" s="3"/>
      <c r="F16" s="3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23</v>
      </c>
      <c r="B17" s="3" t="s">
        <v>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24</v>
      </c>
      <c r="B18" s="3" t="s">
        <v>138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2" t="s">
        <v>25</v>
      </c>
      <c r="B19" s="3" t="s">
        <v>110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2" t="s">
        <v>26</v>
      </c>
      <c r="B20" s="3" t="s">
        <v>110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2" t="s">
        <v>27</v>
      </c>
      <c r="B21" s="14" t="s">
        <v>161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2" t="s">
        <v>28</v>
      </c>
      <c r="B22" s="14" t="s">
        <v>161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3" t="s">
        <v>29</v>
      </c>
      <c r="B23" s="3" t="s">
        <v>162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114</v>
      </c>
      <c r="B24" s="14" t="s">
        <v>163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111</v>
      </c>
      <c r="B25" s="14">
        <v>212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s="54" customFormat="1" ht="15.75" customHeight="1" x14ac:dyDescent="0.25">
      <c r="A26" s="1" t="s">
        <v>113</v>
      </c>
      <c r="B26" s="14" t="s">
        <v>136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1" t="s">
        <v>112</v>
      </c>
      <c r="B27" s="14">
        <v>218.36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4" t="s">
        <v>115</v>
      </c>
      <c r="B28" s="14">
        <v>31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1" t="s">
        <v>116</v>
      </c>
      <c r="B29" s="14" t="s">
        <v>136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1" t="s">
        <v>117</v>
      </c>
      <c r="B30" s="14">
        <v>227.91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 t="s">
        <v>118</v>
      </c>
      <c r="B31" s="14">
        <v>24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1" t="s">
        <v>119</v>
      </c>
      <c r="B32" s="14" t="s">
        <v>136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1" t="s">
        <v>120</v>
      </c>
      <c r="B33" s="14">
        <v>159.25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 t="s">
        <v>121</v>
      </c>
      <c r="B34" s="14">
        <v>23.2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</sheetData>
  <sheetProtection selectLockedCells="1"/>
  <mergeCells count="2">
    <mergeCell ref="A8:A13"/>
    <mergeCell ref="B8:B13"/>
  </mergeCells>
  <conditionalFormatting sqref="B1:B3 B5:B28">
    <cfRule type="containsBlanks" dxfId="8" priority="11">
      <formula>LEN(TRIM(B1))=0</formula>
    </cfRule>
  </conditionalFormatting>
  <conditionalFormatting sqref="B6:B7">
    <cfRule type="containsText" dxfId="7" priority="12" operator="containsText" text="FALSE">
      <formula>NOT(ISERROR(SEARCH(("FALSE"),(B6))))</formula>
    </cfRule>
  </conditionalFormatting>
  <conditionalFormatting sqref="B6:B7">
    <cfRule type="containsText" dxfId="6" priority="13" operator="containsText" text="select the financial year">
      <formula>NOT(ISERROR(SEARCH(("select the financial year"),(B6))))</formula>
    </cfRule>
  </conditionalFormatting>
  <conditionalFormatting sqref="B30:B31">
    <cfRule type="containsBlanks" dxfId="5" priority="10">
      <formula>LEN(TRIM(B30))=0</formula>
    </cfRule>
  </conditionalFormatting>
  <conditionalFormatting sqref="B33:B34">
    <cfRule type="containsBlanks" dxfId="4" priority="9">
      <formula>LEN(TRIM(B33))=0</formula>
    </cfRule>
  </conditionalFormatting>
  <conditionalFormatting sqref="B4">
    <cfRule type="containsBlanks" dxfId="3" priority="7">
      <formula>LEN(TRIM(B4))=0</formula>
    </cfRule>
  </conditionalFormatting>
  <conditionalFormatting sqref="B29">
    <cfRule type="containsBlanks" dxfId="2" priority="3">
      <formula>LEN(TRIM(B29))=0</formula>
    </cfRule>
  </conditionalFormatting>
  <conditionalFormatting sqref="B32">
    <cfRule type="containsBlanks" dxfId="1" priority="2">
      <formula>LEN(TRIM(B32))=0</formula>
    </cfRule>
  </conditionalFormatting>
  <dataValidations count="3">
    <dataValidation type="decimal" allowBlank="1" showErrorMessage="1" sqref="B14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 B27:B28 B30:B31 B33:B34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B15</xm:sqref>
        </x14:dataValidation>
        <x14:dataValidation type="list" allowBlank="1" showErrorMessage="1">
          <x14:formula1>
            <xm:f>'company data'!$D$2:$D$23</xm:f>
          </x14:formula1>
          <xm:sqref>B17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B18</xm:sqref>
        </x14:dataValidation>
        <x14:dataValidation type="list" allowBlank="1" showErrorMessage="1">
          <x14:formula1>
            <xm:f>'company data'!$C$2:$C$16</xm:f>
          </x14:formula1>
          <xm:sqref>B16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00"/>
  <sheetViews>
    <sheetView showGridLines="0" tabSelected="1" topLeftCell="A22" zoomScaleNormal="100" workbookViewId="0">
      <selection activeCell="I28" sqref="I28:J29"/>
    </sheetView>
  </sheetViews>
  <sheetFormatPr defaultColWidth="14.42578125" defaultRowHeight="15" x14ac:dyDescent="0.25"/>
  <cols>
    <col min="1" max="1" width="8.7109375" style="46" customWidth="1"/>
    <col min="2" max="2" width="8.28515625" style="46" customWidth="1"/>
    <col min="3" max="3" width="8.7109375" style="46" customWidth="1"/>
    <col min="4" max="4" width="18.28515625" style="46" customWidth="1"/>
    <col min="5" max="5" width="9.7109375" style="46" customWidth="1"/>
    <col min="6" max="6" width="6.5703125" style="46" customWidth="1"/>
    <col min="7" max="7" width="4.7109375" style="46" customWidth="1"/>
    <col min="8" max="8" width="10.140625" style="46" customWidth="1"/>
    <col min="9" max="9" width="8.7109375" style="46" customWidth="1"/>
    <col min="10" max="10" width="6.5703125" style="46" customWidth="1"/>
    <col min="11" max="12" width="8.7109375" style="46" customWidth="1"/>
    <col min="13" max="13" width="5.7109375" style="46" customWidth="1"/>
    <col min="14" max="26" width="8.7109375" style="46" customWidth="1"/>
    <col min="27" max="16384" width="14.42578125" style="46"/>
  </cols>
  <sheetData>
    <row r="1" spans="1:10" x14ac:dyDescent="0.25">
      <c r="A1" s="215" t="s">
        <v>33</v>
      </c>
      <c r="B1" s="155"/>
      <c r="C1" s="155"/>
      <c r="D1" s="155"/>
      <c r="E1" s="155"/>
      <c r="F1" s="155"/>
      <c r="G1" s="155"/>
      <c r="H1" s="155"/>
      <c r="I1" s="155"/>
      <c r="J1" s="155"/>
    </row>
    <row r="2" spans="1:10" ht="3.75" customHeight="1" thickBot="1" x14ac:dyDescent="0.3">
      <c r="A2" s="175"/>
      <c r="B2" s="175"/>
      <c r="C2" s="175"/>
      <c r="D2" s="175"/>
      <c r="E2" s="175"/>
      <c r="F2" s="175"/>
      <c r="G2" s="175"/>
      <c r="H2" s="175"/>
      <c r="I2" s="175"/>
      <c r="J2" s="175"/>
    </row>
    <row r="3" spans="1:10" x14ac:dyDescent="0.25">
      <c r="A3" s="57" t="s">
        <v>34</v>
      </c>
      <c r="B3" s="50"/>
      <c r="C3" s="50"/>
      <c r="D3" s="66"/>
      <c r="E3" s="216" t="s">
        <v>35</v>
      </c>
      <c r="F3" s="190"/>
      <c r="G3" s="217"/>
      <c r="H3" s="216" t="s">
        <v>36</v>
      </c>
      <c r="I3" s="190"/>
      <c r="J3" s="191"/>
    </row>
    <row r="4" spans="1:10" ht="15.75" thickBot="1" x14ac:dyDescent="0.3">
      <c r="A4" s="47" t="s">
        <v>105</v>
      </c>
      <c r="B4" s="43"/>
      <c r="C4" s="43"/>
      <c r="D4" s="45"/>
      <c r="E4" s="218" t="str">
        <f>'input data'!B3</f>
        <v>BK003/25-26</v>
      </c>
      <c r="F4" s="183"/>
      <c r="G4" s="187"/>
      <c r="H4" s="219">
        <f>'input data'!B4</f>
        <v>46008</v>
      </c>
      <c r="I4" s="220"/>
      <c r="J4" s="221"/>
    </row>
    <row r="5" spans="1:10" ht="15" customHeight="1" x14ac:dyDescent="0.25">
      <c r="A5" s="124" t="s">
        <v>151</v>
      </c>
      <c r="B5" s="125"/>
      <c r="C5" s="125"/>
      <c r="D5" s="125"/>
      <c r="E5" s="159" t="s">
        <v>108</v>
      </c>
      <c r="F5" s="152"/>
      <c r="G5" s="153"/>
      <c r="H5" s="159" t="s">
        <v>37</v>
      </c>
      <c r="I5" s="152"/>
      <c r="J5" s="179"/>
    </row>
    <row r="6" spans="1:10" ht="15.75" thickBot="1" x14ac:dyDescent="0.3">
      <c r="A6" s="124"/>
      <c r="B6" s="125"/>
      <c r="C6" s="125"/>
      <c r="D6" s="125"/>
      <c r="E6" s="211" t="str">
        <f>'input data'!B5</f>
        <v>PI0411/25-26</v>
      </c>
      <c r="F6" s="183"/>
      <c r="G6" s="187"/>
      <c r="H6" s="212" t="str">
        <f>'input data'!B6</f>
        <v>AD240725023182F</v>
      </c>
      <c r="I6" s="183"/>
      <c r="J6" s="184"/>
    </row>
    <row r="7" spans="1:10" x14ac:dyDescent="0.25">
      <c r="A7" s="124"/>
      <c r="B7" s="125"/>
      <c r="C7" s="125"/>
      <c r="D7" s="125"/>
      <c r="E7" s="159" t="s">
        <v>38</v>
      </c>
      <c r="F7" s="152"/>
      <c r="G7" s="153"/>
      <c r="H7" s="159" t="s">
        <v>39</v>
      </c>
      <c r="I7" s="152"/>
      <c r="J7" s="179"/>
    </row>
    <row r="8" spans="1:10" ht="15.75" thickBot="1" x14ac:dyDescent="0.3">
      <c r="A8" s="124"/>
      <c r="B8" s="125"/>
      <c r="C8" s="125"/>
      <c r="D8" s="125"/>
      <c r="E8" s="180" t="s">
        <v>104</v>
      </c>
      <c r="F8" s="213"/>
      <c r="G8" s="214"/>
      <c r="H8" s="180" t="s">
        <v>103</v>
      </c>
      <c r="I8" s="175"/>
      <c r="J8" s="174"/>
    </row>
    <row r="9" spans="1:10" x14ac:dyDescent="0.25">
      <c r="A9" s="124"/>
      <c r="B9" s="125"/>
      <c r="C9" s="125"/>
      <c r="D9" s="125"/>
      <c r="E9" s="189" t="s">
        <v>40</v>
      </c>
      <c r="F9" s="190"/>
      <c r="G9" s="191"/>
      <c r="H9" s="189" t="s">
        <v>41</v>
      </c>
      <c r="I9" s="190"/>
      <c r="J9" s="191"/>
    </row>
    <row r="10" spans="1:10" ht="15.75" thickBot="1" x14ac:dyDescent="0.3">
      <c r="A10" s="124"/>
      <c r="B10" s="125"/>
      <c r="C10" s="125"/>
      <c r="D10" s="125"/>
      <c r="E10" s="172" t="str">
        <f>'input data'!B15</f>
        <v>Wooden Crate Packing</v>
      </c>
      <c r="F10" s="155"/>
      <c r="G10" s="174"/>
      <c r="H10" s="172" t="str">
        <f>'input data'!B14 &amp; " " &amp; 'input data'!B16</f>
        <v>1 FCL</v>
      </c>
      <c r="I10" s="155"/>
      <c r="J10" s="174"/>
    </row>
    <row r="11" spans="1:10" x14ac:dyDescent="0.25">
      <c r="A11" s="124"/>
      <c r="B11" s="125"/>
      <c r="C11" s="125"/>
      <c r="D11" s="125"/>
      <c r="E11" s="189" t="s">
        <v>43</v>
      </c>
      <c r="F11" s="190"/>
      <c r="G11" s="191"/>
      <c r="H11" s="192" t="s">
        <v>44</v>
      </c>
      <c r="I11" s="190"/>
      <c r="J11" s="191"/>
    </row>
    <row r="12" spans="1:10" ht="15" customHeight="1" x14ac:dyDescent="0.25">
      <c r="A12" s="124"/>
      <c r="B12" s="125"/>
      <c r="C12" s="125"/>
      <c r="D12" s="125"/>
      <c r="E12" s="202" t="str">
        <f>'input data'!B17</f>
        <v>FOB</v>
      </c>
      <c r="F12" s="155"/>
      <c r="G12" s="174"/>
      <c r="H12" s="206" t="str">
        <f>'input data'!B18</f>
        <v>30% Advance and Remaining Against BL within 7 days</v>
      </c>
      <c r="I12" s="207"/>
      <c r="J12" s="208"/>
    </row>
    <row r="13" spans="1:10" ht="15.75" thickBot="1" x14ac:dyDescent="0.3">
      <c r="A13" s="126"/>
      <c r="B13" s="127"/>
      <c r="C13" s="127"/>
      <c r="D13" s="127"/>
      <c r="E13" s="203"/>
      <c r="F13" s="204"/>
      <c r="G13" s="205"/>
      <c r="H13" s="209"/>
      <c r="I13" s="209"/>
      <c r="J13" s="210"/>
    </row>
    <row r="14" spans="1:10" ht="15" customHeight="1" x14ac:dyDescent="0.25">
      <c r="A14" s="47" t="s">
        <v>42</v>
      </c>
      <c r="B14" s="43"/>
      <c r="C14" s="43"/>
      <c r="D14" s="45"/>
      <c r="E14" s="115" t="s">
        <v>45</v>
      </c>
      <c r="F14" s="116"/>
      <c r="G14" s="116"/>
      <c r="H14" s="116"/>
      <c r="I14" s="116"/>
      <c r="J14" s="117"/>
    </row>
    <row r="15" spans="1:10" x14ac:dyDescent="0.25">
      <c r="A15" s="195" t="str">
        <f>'input data'!B7</f>
        <v>GOMEZ STONE S.A.C.
20612508659
MZA. C LOTE. 13 ASC. VIRGEN DEL ROSARIO DE COPACABANA (MERCADO HUAMANTANGA) LIMA - LIMA - PUENTE PIEDRA</v>
      </c>
      <c r="B15" s="155"/>
      <c r="C15" s="155"/>
      <c r="D15" s="156"/>
      <c r="E15" s="118" t="str">
        <f>'input data'!B8</f>
        <v>MEGA FREIGHT INTERNATIONAL PERU S.A.C.
20511174768 
AV. ELMER FAUCETT CON TOMAS VALLE NRO. SN CENTRO AEREO COMERCIAL (SECTOR B OF 203 II ETAPA-C.AEREO COMERC) PROV. CONST. DEL CALLAO - CALLAO
(51-1) 456-3531 / (51-1)484-8023
ORFELA OJEDA / RENZO SEGURA
carga.operaciones@megafreightperu.com</v>
      </c>
      <c r="F15" s="119"/>
      <c r="G15" s="119"/>
      <c r="H15" s="119"/>
      <c r="I15" s="119"/>
      <c r="J15" s="120"/>
    </row>
    <row r="16" spans="1:10" x14ac:dyDescent="0.25">
      <c r="A16" s="196"/>
      <c r="B16" s="155"/>
      <c r="C16" s="155"/>
      <c r="D16" s="156"/>
      <c r="E16" s="118"/>
      <c r="F16" s="119"/>
      <c r="G16" s="119"/>
      <c r="H16" s="119"/>
      <c r="I16" s="119"/>
      <c r="J16" s="120"/>
    </row>
    <row r="17" spans="1:14" x14ac:dyDescent="0.25">
      <c r="A17" s="196"/>
      <c r="B17" s="155"/>
      <c r="C17" s="155"/>
      <c r="D17" s="156"/>
      <c r="E17" s="118"/>
      <c r="F17" s="119"/>
      <c r="G17" s="119"/>
      <c r="H17" s="119"/>
      <c r="I17" s="119"/>
      <c r="J17" s="120"/>
    </row>
    <row r="18" spans="1:14" x14ac:dyDescent="0.25">
      <c r="A18" s="196"/>
      <c r="B18" s="155"/>
      <c r="C18" s="155"/>
      <c r="D18" s="156"/>
      <c r="E18" s="118"/>
      <c r="F18" s="119"/>
      <c r="G18" s="119"/>
      <c r="H18" s="119"/>
      <c r="I18" s="119"/>
      <c r="J18" s="120"/>
      <c r="N18" s="89"/>
    </row>
    <row r="19" spans="1:14" x14ac:dyDescent="0.25">
      <c r="A19" s="196"/>
      <c r="B19" s="155"/>
      <c r="C19" s="155"/>
      <c r="D19" s="156"/>
      <c r="E19" s="118"/>
      <c r="F19" s="119"/>
      <c r="G19" s="119"/>
      <c r="H19" s="119"/>
      <c r="I19" s="119"/>
      <c r="J19" s="120"/>
    </row>
    <row r="20" spans="1:14" ht="62.25" customHeight="1" thickBot="1" x14ac:dyDescent="0.3">
      <c r="A20" s="197"/>
      <c r="B20" s="183"/>
      <c r="C20" s="183"/>
      <c r="D20" s="187"/>
      <c r="E20" s="121"/>
      <c r="F20" s="122"/>
      <c r="G20" s="122"/>
      <c r="H20" s="122"/>
      <c r="I20" s="122"/>
      <c r="J20" s="123"/>
    </row>
    <row r="21" spans="1:14" ht="15.75" customHeight="1" x14ac:dyDescent="0.25">
      <c r="A21" s="198" t="s">
        <v>46</v>
      </c>
      <c r="B21" s="153"/>
      <c r="C21" s="199" t="s">
        <v>25</v>
      </c>
      <c r="D21" s="153"/>
      <c r="E21" s="199" t="s">
        <v>47</v>
      </c>
      <c r="F21" s="152"/>
      <c r="G21" s="153"/>
      <c r="H21" s="199" t="s">
        <v>29</v>
      </c>
      <c r="I21" s="152"/>
      <c r="J21" s="179"/>
    </row>
    <row r="22" spans="1:14" ht="14.25" customHeight="1" x14ac:dyDescent="0.25">
      <c r="A22" s="200" t="s">
        <v>48</v>
      </c>
      <c r="B22" s="156"/>
      <c r="C22" s="201" t="str">
        <f>'input data'!B19</f>
        <v>CHENNAI</v>
      </c>
      <c r="D22" s="156"/>
      <c r="E22" s="181" t="s">
        <v>49</v>
      </c>
      <c r="F22" s="155"/>
      <c r="G22" s="156"/>
      <c r="H22" s="181" t="str">
        <f>'input data'!B23</f>
        <v>PERU</v>
      </c>
      <c r="I22" s="155"/>
      <c r="J22" s="174"/>
    </row>
    <row r="23" spans="1:14" ht="15" customHeight="1" thickBot="1" x14ac:dyDescent="0.3">
      <c r="A23" s="185"/>
      <c r="B23" s="156"/>
      <c r="C23" s="182"/>
      <c r="D23" s="187"/>
      <c r="E23" s="182"/>
      <c r="F23" s="183"/>
      <c r="G23" s="187"/>
      <c r="H23" s="182"/>
      <c r="I23" s="183"/>
      <c r="J23" s="184"/>
    </row>
    <row r="24" spans="1:14" ht="15.75" customHeight="1" x14ac:dyDescent="0.25">
      <c r="A24" s="193" t="s">
        <v>50</v>
      </c>
      <c r="B24" s="153"/>
      <c r="C24" s="194" t="s">
        <v>26</v>
      </c>
      <c r="D24" s="153"/>
      <c r="E24" s="159" t="s">
        <v>27</v>
      </c>
      <c r="F24" s="152"/>
      <c r="G24" s="153"/>
      <c r="H24" s="194" t="s">
        <v>28</v>
      </c>
      <c r="I24" s="152"/>
      <c r="J24" s="179"/>
    </row>
    <row r="25" spans="1:14" ht="15.75" customHeight="1" thickBot="1" x14ac:dyDescent="0.3">
      <c r="A25" s="186"/>
      <c r="B25" s="187"/>
      <c r="C25" s="188" t="str">
        <f>'input data'!B20</f>
        <v>CHENNAI</v>
      </c>
      <c r="D25" s="187"/>
      <c r="E25" s="188" t="str">
        <f>'input data'!B21</f>
        <v>CALLAO</v>
      </c>
      <c r="F25" s="183"/>
      <c r="G25" s="187"/>
      <c r="H25" s="188" t="str">
        <f>'input data'!B22</f>
        <v>CALLAO</v>
      </c>
      <c r="I25" s="183"/>
      <c r="J25" s="184"/>
    </row>
    <row r="26" spans="1:14" ht="15.75" customHeight="1" x14ac:dyDescent="0.25">
      <c r="A26" s="149" t="s">
        <v>51</v>
      </c>
      <c r="B26" s="151" t="s">
        <v>52</v>
      </c>
      <c r="C26" s="152"/>
      <c r="D26" s="153"/>
      <c r="E26" s="157" t="s">
        <v>53</v>
      </c>
      <c r="F26" s="159" t="s">
        <v>54</v>
      </c>
      <c r="G26" s="153"/>
      <c r="H26" s="19" t="s">
        <v>32</v>
      </c>
      <c r="I26" s="159" t="s">
        <v>55</v>
      </c>
      <c r="J26" s="179"/>
    </row>
    <row r="27" spans="1:14" ht="15.75" customHeight="1" thickBot="1" x14ac:dyDescent="0.3">
      <c r="A27" s="150"/>
      <c r="B27" s="154"/>
      <c r="C27" s="155"/>
      <c r="D27" s="156"/>
      <c r="E27" s="158"/>
      <c r="F27" s="180" t="s">
        <v>56</v>
      </c>
      <c r="G27" s="156"/>
      <c r="H27" s="105" t="s">
        <v>56</v>
      </c>
      <c r="I27" s="180" t="s">
        <v>57</v>
      </c>
      <c r="J27" s="174"/>
    </row>
    <row r="28" spans="1:14" ht="15.75" customHeight="1" thickBot="1" x14ac:dyDescent="0.3">
      <c r="A28" s="104">
        <v>1</v>
      </c>
      <c r="B28" s="137" t="str">
        <f>'input data'!B26</f>
        <v>Polished Granite Slabs</v>
      </c>
      <c r="C28" s="138"/>
      <c r="D28" s="139"/>
      <c r="E28" s="106">
        <v>68022390</v>
      </c>
      <c r="F28" s="140">
        <f>'input data'!B27</f>
        <v>218.36</v>
      </c>
      <c r="G28" s="141"/>
      <c r="H28" s="107">
        <f>'input data'!B28</f>
        <v>31</v>
      </c>
      <c r="I28" s="142">
        <f>F28*H28</f>
        <v>6769.1600000000008</v>
      </c>
      <c r="J28" s="143"/>
    </row>
    <row r="29" spans="1:14" ht="15.75" customHeight="1" thickBot="1" x14ac:dyDescent="0.3">
      <c r="A29" s="104">
        <v>2</v>
      </c>
      <c r="B29" s="144" t="str">
        <f>'input data'!B29</f>
        <v>Polished Granite Slabs</v>
      </c>
      <c r="C29" s="145"/>
      <c r="D29" s="146"/>
      <c r="E29" s="108">
        <v>68022390</v>
      </c>
      <c r="F29" s="147">
        <f>'input data'!B30</f>
        <v>227.91</v>
      </c>
      <c r="G29" s="148"/>
      <c r="H29" s="109">
        <f>'input data'!B31</f>
        <v>24</v>
      </c>
      <c r="I29" s="142">
        <f>F29*H29</f>
        <v>5469.84</v>
      </c>
      <c r="J29" s="143"/>
    </row>
    <row r="30" spans="1:14" ht="15.75" customHeight="1" x14ac:dyDescent="0.25">
      <c r="A30" s="67" t="s">
        <v>30</v>
      </c>
      <c r="B30" s="43"/>
      <c r="C30" s="43" t="s">
        <v>31</v>
      </c>
      <c r="D30" s="43" t="s">
        <v>58</v>
      </c>
      <c r="E30" s="43" t="s">
        <v>59</v>
      </c>
      <c r="F30" s="43"/>
      <c r="G30" s="43"/>
      <c r="H30" s="56"/>
      <c r="I30" s="43"/>
      <c r="J30" s="53"/>
    </row>
    <row r="31" spans="1:14" ht="15.75" customHeight="1" x14ac:dyDescent="0.25">
      <c r="A31" s="172" t="str">
        <f>UPPER('input data'!B24)</f>
        <v>MSDU2926407</v>
      </c>
      <c r="B31" s="155"/>
      <c r="C31" s="64">
        <f>'input data'!B25</f>
        <v>212</v>
      </c>
      <c r="D31" s="43" t="s">
        <v>60</v>
      </c>
      <c r="E31" s="43" t="s">
        <v>152</v>
      </c>
      <c r="F31" s="43"/>
      <c r="G31" s="43"/>
      <c r="H31" s="56"/>
      <c r="I31" s="43"/>
      <c r="J31" s="53"/>
    </row>
    <row r="32" spans="1:14" ht="15.75" customHeight="1" thickBot="1" x14ac:dyDescent="0.3">
      <c r="A32" s="67"/>
      <c r="B32" s="43"/>
      <c r="C32" s="43"/>
      <c r="D32" s="43"/>
      <c r="E32" s="43"/>
      <c r="F32" s="43"/>
      <c r="G32" s="43"/>
      <c r="H32" s="56"/>
      <c r="I32" s="48"/>
      <c r="J32" s="55"/>
    </row>
    <row r="33" spans="1:12" ht="15.75" customHeight="1" x14ac:dyDescent="0.25">
      <c r="A33" s="57" t="s">
        <v>61</v>
      </c>
      <c r="B33" s="50"/>
      <c r="C33" s="50"/>
      <c r="D33" s="50"/>
      <c r="E33" s="50"/>
      <c r="F33" s="50"/>
      <c r="G33" s="50"/>
      <c r="H33" s="51"/>
      <c r="I33" s="173">
        <f>SUM(I28:J32)</f>
        <v>12239</v>
      </c>
      <c r="J33" s="174"/>
    </row>
    <row r="34" spans="1:12" ht="15.75" customHeight="1" thickBot="1" x14ac:dyDescent="0.3">
      <c r="A34" s="176" t="str">
        <f>SpellNumberUSD(I33)</f>
        <v>Twelve Thousand Two Hundred Thirty Nine Dollars</v>
      </c>
      <c r="B34" s="177"/>
      <c r="C34" s="177"/>
      <c r="D34" s="177"/>
      <c r="E34" s="177"/>
      <c r="F34" s="177"/>
      <c r="G34" s="177"/>
      <c r="H34" s="178"/>
      <c r="I34" s="175"/>
      <c r="J34" s="174"/>
    </row>
    <row r="35" spans="1:12" s="89" customFormat="1" ht="15.75" customHeight="1" x14ac:dyDescent="0.25">
      <c r="A35" s="128" t="s">
        <v>146</v>
      </c>
      <c r="B35" s="129"/>
      <c r="C35" s="129"/>
      <c r="D35" s="129"/>
      <c r="E35" s="129"/>
      <c r="F35" s="129"/>
      <c r="G35" s="129"/>
      <c r="H35" s="129"/>
      <c r="I35" s="129"/>
      <c r="J35" s="130"/>
    </row>
    <row r="36" spans="1:12" s="89" customFormat="1" ht="15.75" customHeight="1" x14ac:dyDescent="0.25">
      <c r="A36" s="97" t="s">
        <v>140</v>
      </c>
      <c r="B36" s="90"/>
      <c r="C36" s="90"/>
      <c r="D36" s="90"/>
      <c r="E36" s="90" t="s">
        <v>143</v>
      </c>
      <c r="F36" s="93"/>
      <c r="G36" s="93"/>
      <c r="H36" s="93"/>
      <c r="I36" s="93"/>
      <c r="J36" s="94"/>
    </row>
    <row r="37" spans="1:12" s="89" customFormat="1" ht="15.75" customHeight="1" x14ac:dyDescent="0.25">
      <c r="A37" s="97" t="s">
        <v>141</v>
      </c>
      <c r="B37" s="93"/>
      <c r="C37" s="93"/>
      <c r="D37" s="93"/>
      <c r="E37" s="90" t="s">
        <v>144</v>
      </c>
      <c r="F37" s="93"/>
      <c r="G37" s="93"/>
      <c r="H37" s="93"/>
      <c r="I37" s="93"/>
      <c r="J37" s="94"/>
    </row>
    <row r="38" spans="1:12" s="89" customFormat="1" ht="15.75" customHeight="1" thickBot="1" x14ac:dyDescent="0.3">
      <c r="A38" s="98" t="s">
        <v>142</v>
      </c>
      <c r="B38" s="99"/>
      <c r="C38" s="99"/>
      <c r="D38" s="99"/>
      <c r="E38" s="100" t="s">
        <v>145</v>
      </c>
      <c r="F38" s="99"/>
      <c r="G38" s="99"/>
      <c r="H38" s="99"/>
      <c r="I38" s="99"/>
      <c r="J38" s="101"/>
    </row>
    <row r="39" spans="1:12" ht="15.75" customHeight="1" thickBot="1" x14ac:dyDescent="0.3">
      <c r="A39" s="131" t="s">
        <v>62</v>
      </c>
      <c r="B39" s="132"/>
      <c r="C39" s="132"/>
      <c r="D39" s="133"/>
      <c r="E39" s="134" t="s">
        <v>106</v>
      </c>
      <c r="F39" s="135"/>
      <c r="G39" s="135"/>
      <c r="H39" s="135"/>
      <c r="I39" s="135"/>
      <c r="J39" s="136"/>
      <c r="L39" s="89"/>
    </row>
    <row r="40" spans="1:12" ht="19.5" customHeight="1" x14ac:dyDescent="0.25">
      <c r="A40" s="160" t="s">
        <v>63</v>
      </c>
      <c r="B40" s="161"/>
      <c r="C40" s="161"/>
      <c r="D40" s="162"/>
      <c r="E40" s="49" t="s">
        <v>107</v>
      </c>
      <c r="F40" s="50"/>
      <c r="G40" s="50"/>
      <c r="H40" s="50"/>
      <c r="I40" s="50"/>
      <c r="J40" s="51"/>
      <c r="L40" s="89"/>
    </row>
    <row r="41" spans="1:12" ht="19.5" customHeight="1" x14ac:dyDescent="0.25">
      <c r="A41" s="163"/>
      <c r="B41" s="164"/>
      <c r="C41" s="164"/>
      <c r="D41" s="165"/>
      <c r="E41" s="52"/>
      <c r="F41" s="43"/>
      <c r="G41" s="43"/>
      <c r="H41" s="43"/>
      <c r="I41" s="43"/>
      <c r="J41" s="53"/>
    </row>
    <row r="42" spans="1:12" ht="15.75" customHeight="1" x14ac:dyDescent="0.25">
      <c r="A42" s="166" t="s">
        <v>64</v>
      </c>
      <c r="B42" s="167"/>
      <c r="C42" s="167"/>
      <c r="D42" s="168"/>
      <c r="E42" s="52"/>
      <c r="F42" s="43"/>
      <c r="G42" s="43"/>
      <c r="H42" s="43"/>
      <c r="I42" s="43"/>
      <c r="J42" s="53"/>
    </row>
    <row r="43" spans="1:12" ht="18.75" customHeight="1" thickBot="1" x14ac:dyDescent="0.3">
      <c r="A43" s="169"/>
      <c r="B43" s="170"/>
      <c r="C43" s="170"/>
      <c r="D43" s="171"/>
      <c r="E43" s="69" t="s">
        <v>65</v>
      </c>
      <c r="F43" s="48"/>
      <c r="G43" s="48"/>
      <c r="H43" s="48"/>
      <c r="I43" s="48"/>
      <c r="J43" s="55"/>
    </row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3">
    <mergeCell ref="A1:J2"/>
    <mergeCell ref="E3:G3"/>
    <mergeCell ref="H3:J3"/>
    <mergeCell ref="E4:G4"/>
    <mergeCell ref="H4:J4"/>
    <mergeCell ref="E5:G5"/>
    <mergeCell ref="H5:J5"/>
    <mergeCell ref="E6:G6"/>
    <mergeCell ref="H6:J6"/>
    <mergeCell ref="E10:G10"/>
    <mergeCell ref="H10:J10"/>
    <mergeCell ref="E7:G7"/>
    <mergeCell ref="H7:J7"/>
    <mergeCell ref="E8:G8"/>
    <mergeCell ref="H8:J8"/>
    <mergeCell ref="E9:G9"/>
    <mergeCell ref="H9:J9"/>
    <mergeCell ref="E11:G11"/>
    <mergeCell ref="H11:J11"/>
    <mergeCell ref="A24:B24"/>
    <mergeCell ref="C24:D24"/>
    <mergeCell ref="E24:G24"/>
    <mergeCell ref="H24:J24"/>
    <mergeCell ref="A15:D20"/>
    <mergeCell ref="A21:B21"/>
    <mergeCell ref="C21:D21"/>
    <mergeCell ref="E21:G21"/>
    <mergeCell ref="H21:J21"/>
    <mergeCell ref="A22:B22"/>
    <mergeCell ref="C22:D23"/>
    <mergeCell ref="E22:G23"/>
    <mergeCell ref="E12:G13"/>
    <mergeCell ref="H12:J13"/>
    <mergeCell ref="I26:J26"/>
    <mergeCell ref="F27:G27"/>
    <mergeCell ref="I27:J27"/>
    <mergeCell ref="H22:J23"/>
    <mergeCell ref="A23:B23"/>
    <mergeCell ref="A25:B25"/>
    <mergeCell ref="C25:D25"/>
    <mergeCell ref="E25:G25"/>
    <mergeCell ref="H25:J25"/>
    <mergeCell ref="A40:D41"/>
    <mergeCell ref="A42:D43"/>
    <mergeCell ref="A31:B31"/>
    <mergeCell ref="I33:J34"/>
    <mergeCell ref="A34:H34"/>
    <mergeCell ref="E14:J14"/>
    <mergeCell ref="E15:J20"/>
    <mergeCell ref="A5:D13"/>
    <mergeCell ref="A35:J35"/>
    <mergeCell ref="A39:D39"/>
    <mergeCell ref="E39:J39"/>
    <mergeCell ref="B28:D28"/>
    <mergeCell ref="F28:G28"/>
    <mergeCell ref="I28:J28"/>
    <mergeCell ref="B29:D29"/>
    <mergeCell ref="F29:G29"/>
    <mergeCell ref="I29:J29"/>
    <mergeCell ref="A26:A27"/>
    <mergeCell ref="B26:D27"/>
    <mergeCell ref="E26:E27"/>
    <mergeCell ref="F26:G26"/>
  </mergeCells>
  <conditionalFormatting sqref="A34:A35">
    <cfRule type="containsBlanks" dxfId="0" priority="1">
      <formula>LEN(TRIM(A34))=0</formula>
    </cfRule>
  </conditionalFormatting>
  <pageMargins left="0.7" right="0.7" top="0.75" bottom="0.75" header="0.3" footer="0.3"/>
  <pageSetup scale="9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93"/>
  <sheetViews>
    <sheetView showGridLines="0" topLeftCell="A18" workbookViewId="0">
      <selection activeCell="M15" sqref="M15"/>
    </sheetView>
  </sheetViews>
  <sheetFormatPr defaultColWidth="14.42578125" defaultRowHeight="15" customHeight="1" x14ac:dyDescent="0.25"/>
  <cols>
    <col min="1" max="2" width="8.7109375" customWidth="1"/>
    <col min="3" max="3" width="7.140625" customWidth="1"/>
    <col min="4" max="4" width="8.7109375" customWidth="1"/>
    <col min="5" max="5" width="7" customWidth="1"/>
    <col min="6" max="6" width="10" customWidth="1"/>
    <col min="7" max="7" width="8.7109375" customWidth="1"/>
    <col min="8" max="8" width="12.85546875" customWidth="1"/>
    <col min="9" max="9" width="8.7109375" customWidth="1"/>
    <col min="10" max="10" width="15.42578125" customWidth="1"/>
    <col min="11" max="26" width="8.7109375" customWidth="1"/>
  </cols>
  <sheetData>
    <row r="1" spans="1:10" ht="21" x14ac:dyDescent="0.35">
      <c r="A1" s="279" t="s">
        <v>66</v>
      </c>
      <c r="B1" s="280"/>
      <c r="C1" s="280"/>
      <c r="D1" s="280"/>
      <c r="E1" s="280"/>
      <c r="F1" s="280"/>
      <c r="G1" s="280"/>
      <c r="H1" s="280"/>
      <c r="I1" s="280"/>
      <c r="J1" s="280"/>
    </row>
    <row r="2" spans="1:10" x14ac:dyDescent="0.25">
      <c r="A2" s="281" t="s">
        <v>67</v>
      </c>
      <c r="B2" s="190"/>
      <c r="C2" s="190"/>
      <c r="D2" s="190"/>
      <c r="E2" s="190"/>
      <c r="F2" s="217"/>
      <c r="G2" s="216" t="s">
        <v>35</v>
      </c>
      <c r="H2" s="217"/>
      <c r="I2" s="282" t="s">
        <v>36</v>
      </c>
      <c r="J2" s="191"/>
    </row>
    <row r="3" spans="1:10" ht="16.5" thickBot="1" x14ac:dyDescent="0.3">
      <c r="A3" s="283" t="s">
        <v>105</v>
      </c>
      <c r="B3" s="155"/>
      <c r="C3" s="155"/>
      <c r="D3" s="155"/>
      <c r="E3" s="155"/>
      <c r="F3" s="156"/>
      <c r="G3" s="218" t="str">
        <f>'input data'!B3</f>
        <v>BK003/25-26</v>
      </c>
      <c r="H3" s="187"/>
      <c r="I3" s="219">
        <f>'input data'!B4</f>
        <v>46008</v>
      </c>
      <c r="J3" s="221"/>
    </row>
    <row r="4" spans="1:10" x14ac:dyDescent="0.25">
      <c r="A4" s="195" t="s">
        <v>147</v>
      </c>
      <c r="B4" s="257"/>
      <c r="C4" s="257"/>
      <c r="D4" s="257"/>
      <c r="E4" s="257"/>
      <c r="F4" s="258"/>
      <c r="G4" s="262" t="s">
        <v>37</v>
      </c>
      <c r="H4" s="152"/>
      <c r="I4" s="152"/>
      <c r="J4" s="179"/>
    </row>
    <row r="5" spans="1:10" ht="15.75" thickBot="1" x14ac:dyDescent="0.3">
      <c r="A5" s="195"/>
      <c r="B5" s="257"/>
      <c r="C5" s="257"/>
      <c r="D5" s="257"/>
      <c r="E5" s="257"/>
      <c r="F5" s="258"/>
      <c r="G5" s="188" t="str">
        <f>'input data'!B6</f>
        <v>AD240725023182F</v>
      </c>
      <c r="H5" s="183"/>
      <c r="I5" s="183"/>
      <c r="J5" s="184"/>
    </row>
    <row r="6" spans="1:10" ht="15.75" thickBot="1" x14ac:dyDescent="0.3">
      <c r="A6" s="195"/>
      <c r="B6" s="257"/>
      <c r="C6" s="257"/>
      <c r="D6" s="257"/>
      <c r="E6" s="257"/>
      <c r="F6" s="258"/>
      <c r="G6" s="71"/>
      <c r="H6" s="72"/>
      <c r="I6" s="72"/>
      <c r="J6" s="73"/>
    </row>
    <row r="7" spans="1:10" x14ac:dyDescent="0.25">
      <c r="A7" s="195"/>
      <c r="B7" s="257"/>
      <c r="C7" s="257"/>
      <c r="D7" s="257"/>
      <c r="E7" s="257"/>
      <c r="F7" s="258"/>
      <c r="G7" s="23" t="s">
        <v>68</v>
      </c>
      <c r="H7" s="15"/>
      <c r="I7" s="15"/>
      <c r="J7" s="74"/>
    </row>
    <row r="8" spans="1:10" ht="15.75" x14ac:dyDescent="0.25">
      <c r="A8" s="195"/>
      <c r="B8" s="257"/>
      <c r="C8" s="257"/>
      <c r="D8" s="257"/>
      <c r="E8" s="257"/>
      <c r="F8" s="258"/>
      <c r="G8" s="75" t="s">
        <v>109</v>
      </c>
      <c r="H8" s="76"/>
      <c r="I8" s="76"/>
      <c r="J8" s="77"/>
    </row>
    <row r="9" spans="1:10" ht="15.75" x14ac:dyDescent="0.25">
      <c r="A9" s="195"/>
      <c r="B9" s="257"/>
      <c r="C9" s="257"/>
      <c r="D9" s="257"/>
      <c r="E9" s="257"/>
      <c r="F9" s="258"/>
      <c r="G9" s="75" t="s">
        <v>129</v>
      </c>
      <c r="H9" s="76"/>
      <c r="I9" s="76"/>
      <c r="J9" s="77"/>
    </row>
    <row r="10" spans="1:10" ht="15.75" thickBot="1" x14ac:dyDescent="0.3">
      <c r="A10" s="259"/>
      <c r="B10" s="260"/>
      <c r="C10" s="260"/>
      <c r="D10" s="260"/>
      <c r="E10" s="260"/>
      <c r="F10" s="261"/>
      <c r="G10" s="52"/>
      <c r="H10" s="43"/>
      <c r="I10" s="43"/>
      <c r="J10" s="53"/>
    </row>
    <row r="11" spans="1:10" x14ac:dyDescent="0.25">
      <c r="A11" s="263" t="s">
        <v>42</v>
      </c>
      <c r="B11" s="152"/>
      <c r="C11" s="152"/>
      <c r="D11" s="152"/>
      <c r="E11" s="152"/>
      <c r="F11" s="15"/>
      <c r="G11" s="95" t="s">
        <v>45</v>
      </c>
      <c r="H11" s="50"/>
      <c r="I11" s="50"/>
      <c r="J11" s="51"/>
    </row>
    <row r="12" spans="1:10" ht="15" customHeight="1" x14ac:dyDescent="0.25">
      <c r="A12" s="239" t="str">
        <f>'input data'!B7</f>
        <v>GOMEZ STONE S.A.C.
20612508659
MZA. C LOTE. 13 ASC. VIRGEN DEL ROSARIO DE COPACABANA (MERCADO HUAMANTANGA) LIMA - LIMA - PUENTE PIEDRA</v>
      </c>
      <c r="B12" s="240"/>
      <c r="C12" s="240"/>
      <c r="D12" s="240"/>
      <c r="E12" s="240"/>
      <c r="F12" s="240"/>
      <c r="G12" s="239" t="str">
        <f>'input data'!B8</f>
        <v>MEGA FREIGHT INTERNATIONAL PERU S.A.C.
20511174768 
AV. ELMER FAUCETT CON TOMAS VALLE NRO. SN CENTRO AEREO COMERCIAL (SECTOR B OF 203 II ETAPA-C.AEREO COMERC) PROV. CONST. DEL CALLAO - CALLAO
(51-1) 456-3531 / (51-1)484-8023
ORFELA OJEDA / RENZO SEGURA
carga.operaciones@megafreightperu.com</v>
      </c>
      <c r="H12" s="240"/>
      <c r="I12" s="240"/>
      <c r="J12" s="241"/>
    </row>
    <row r="13" spans="1:10" ht="120" customHeight="1" thickBot="1" x14ac:dyDescent="0.3">
      <c r="A13" s="245"/>
      <c r="B13" s="246"/>
      <c r="C13" s="246"/>
      <c r="D13" s="240"/>
      <c r="E13" s="240"/>
      <c r="F13" s="240"/>
      <c r="G13" s="242"/>
      <c r="H13" s="243"/>
      <c r="I13" s="243"/>
      <c r="J13" s="244"/>
    </row>
    <row r="14" spans="1:10" ht="22.5" customHeight="1" x14ac:dyDescent="0.25">
      <c r="A14" s="247" t="s">
        <v>71</v>
      </c>
      <c r="B14" s="248"/>
      <c r="C14" s="248"/>
      <c r="D14" s="229" t="s">
        <v>72</v>
      </c>
      <c r="E14" s="250"/>
      <c r="F14" s="251"/>
      <c r="G14" s="229" t="s">
        <v>69</v>
      </c>
      <c r="H14" s="230"/>
      <c r="I14" s="231" t="s">
        <v>70</v>
      </c>
      <c r="J14" s="232"/>
    </row>
    <row r="15" spans="1:10" ht="15" customHeight="1" thickBot="1" x14ac:dyDescent="0.3">
      <c r="A15" s="186"/>
      <c r="B15" s="249"/>
      <c r="C15" s="249"/>
      <c r="D15" s="252" t="str">
        <f>'input data'!B19</f>
        <v>CHENNAI</v>
      </c>
      <c r="E15" s="253"/>
      <c r="F15" s="254"/>
      <c r="G15" s="233" t="s">
        <v>49</v>
      </c>
      <c r="H15" s="234"/>
      <c r="I15" s="235" t="str">
        <f>'input data'!B23</f>
        <v>PERU</v>
      </c>
      <c r="J15" s="236"/>
    </row>
    <row r="16" spans="1:10" ht="16.5" customHeight="1" x14ac:dyDescent="0.25">
      <c r="A16" s="247" t="s">
        <v>73</v>
      </c>
      <c r="B16" s="248"/>
      <c r="C16" s="248"/>
      <c r="D16" s="255" t="s">
        <v>74</v>
      </c>
      <c r="E16" s="256"/>
      <c r="F16" s="256"/>
      <c r="G16" s="237" t="s">
        <v>149</v>
      </c>
      <c r="H16" s="238"/>
      <c r="I16" s="238"/>
      <c r="J16" s="232"/>
    </row>
    <row r="17" spans="1:10" ht="15.75" customHeight="1" thickBot="1" x14ac:dyDescent="0.3">
      <c r="A17" s="172"/>
      <c r="B17" s="175"/>
      <c r="C17" s="175"/>
      <c r="D17" s="185" t="str">
        <f>'input data'!B19</f>
        <v>CHENNAI</v>
      </c>
      <c r="E17" s="264"/>
      <c r="F17" s="264"/>
      <c r="G17" s="185" t="str">
        <f>'input data'!B17</f>
        <v>FOB</v>
      </c>
      <c r="H17" s="264"/>
      <c r="I17" s="264"/>
      <c r="J17" s="265"/>
    </row>
    <row r="18" spans="1:10" ht="15.75" customHeight="1" x14ac:dyDescent="0.25">
      <c r="A18" s="266" t="s">
        <v>27</v>
      </c>
      <c r="B18" s="267"/>
      <c r="C18" s="267"/>
      <c r="D18" s="266" t="s">
        <v>28</v>
      </c>
      <c r="E18" s="267"/>
      <c r="F18" s="268"/>
      <c r="G18" s="250" t="s">
        <v>75</v>
      </c>
      <c r="H18" s="250"/>
      <c r="I18" s="250"/>
      <c r="J18" s="251"/>
    </row>
    <row r="19" spans="1:10" ht="15.75" customHeight="1" x14ac:dyDescent="0.25">
      <c r="A19" s="269" t="str">
        <f>'input data'!B21</f>
        <v>CALLAO</v>
      </c>
      <c r="B19" s="270"/>
      <c r="C19" s="270"/>
      <c r="D19" s="269" t="str">
        <f>'input data'!B22</f>
        <v>CALLAO</v>
      </c>
      <c r="E19" s="270"/>
      <c r="F19" s="273"/>
      <c r="G19" s="275" t="str">
        <f>'input data'!B18</f>
        <v>30% Advance and Remaining Against BL within 7 days</v>
      </c>
      <c r="H19" s="275"/>
      <c r="I19" s="275"/>
      <c r="J19" s="276"/>
    </row>
    <row r="20" spans="1:10" ht="15.75" customHeight="1" thickBot="1" x14ac:dyDescent="0.3">
      <c r="A20" s="271"/>
      <c r="B20" s="272"/>
      <c r="C20" s="272"/>
      <c r="D20" s="271"/>
      <c r="E20" s="272"/>
      <c r="F20" s="274"/>
      <c r="G20" s="277"/>
      <c r="H20" s="277"/>
      <c r="I20" s="277"/>
      <c r="J20" s="278"/>
    </row>
    <row r="21" spans="1:10" ht="15.75" customHeight="1" thickBot="1" x14ac:dyDescent="0.3">
      <c r="A21" s="96"/>
      <c r="B21" s="44"/>
      <c r="C21" s="44"/>
      <c r="D21" s="44"/>
      <c r="E21" s="44"/>
      <c r="F21" s="44"/>
      <c r="G21" s="27"/>
      <c r="H21" s="27"/>
      <c r="I21" s="27"/>
      <c r="J21" s="78"/>
    </row>
    <row r="22" spans="1:10" ht="15.75" customHeight="1" thickBot="1" x14ac:dyDescent="0.3">
      <c r="A22" s="79" t="s">
        <v>51</v>
      </c>
      <c r="B22" s="188" t="s">
        <v>76</v>
      </c>
      <c r="C22" s="187"/>
      <c r="D22" s="188" t="s">
        <v>52</v>
      </c>
      <c r="E22" s="183"/>
      <c r="F22" s="183"/>
      <c r="G22" s="80"/>
      <c r="H22" s="81"/>
      <c r="I22" s="188" t="s">
        <v>56</v>
      </c>
      <c r="J22" s="184"/>
    </row>
    <row r="23" spans="1:10" ht="15.75" customHeight="1" thickBot="1" x14ac:dyDescent="0.3">
      <c r="A23" s="68">
        <v>1</v>
      </c>
      <c r="B23" s="222">
        <f>'Invoice rockstone'!E28</f>
        <v>68022390</v>
      </c>
      <c r="C23" s="223"/>
      <c r="D23" s="224" t="str">
        <f>'Invoice rockstone'!B28</f>
        <v>Polished Granite Slabs</v>
      </c>
      <c r="E23" s="225"/>
      <c r="F23" s="225"/>
      <c r="G23" s="225"/>
      <c r="H23" s="223"/>
      <c r="I23" s="226">
        <f>'Invoice rockstone'!F28</f>
        <v>218.36</v>
      </c>
      <c r="J23" s="227"/>
    </row>
    <row r="24" spans="1:10" s="54" customFormat="1" ht="15.75" customHeight="1" thickBot="1" x14ac:dyDescent="0.3">
      <c r="A24" s="68">
        <v>2</v>
      </c>
      <c r="B24" s="222">
        <f>'Invoice rockstone'!E29</f>
        <v>68022390</v>
      </c>
      <c r="C24" s="223"/>
      <c r="D24" s="224" t="str">
        <f>'Invoice rockstone'!B29</f>
        <v>Polished Granite Slabs</v>
      </c>
      <c r="E24" s="225"/>
      <c r="F24" s="225"/>
      <c r="G24" s="225"/>
      <c r="H24" s="223"/>
      <c r="I24" s="226">
        <f>'Invoice rockstone'!F29</f>
        <v>227.91</v>
      </c>
      <c r="J24" s="227"/>
    </row>
    <row r="25" spans="1:10" ht="15.75" customHeight="1" thickBot="1" x14ac:dyDescent="0.3">
      <c r="A25" s="82" t="s">
        <v>77</v>
      </c>
      <c r="B25" s="27"/>
      <c r="C25" s="27"/>
      <c r="D25" s="27"/>
      <c r="E25" s="27"/>
      <c r="F25" s="27"/>
      <c r="G25" s="27"/>
      <c r="H25" s="27"/>
      <c r="I25" s="228">
        <f>SUM(I23:J24)</f>
        <v>446.27</v>
      </c>
      <c r="J25" s="227"/>
    </row>
    <row r="26" spans="1:10" ht="15.75" customHeight="1" x14ac:dyDescent="0.25">
      <c r="A26" s="47"/>
      <c r="B26" s="43"/>
      <c r="C26" s="43"/>
      <c r="D26" s="43"/>
      <c r="E26" s="43"/>
      <c r="F26" s="43"/>
      <c r="G26" s="43"/>
      <c r="H26" s="43"/>
      <c r="I26" s="72"/>
      <c r="J26" s="73"/>
    </row>
    <row r="27" spans="1:10" ht="15.75" customHeight="1" x14ac:dyDescent="0.25">
      <c r="A27" s="185" t="s">
        <v>78</v>
      </c>
      <c r="B27" s="155"/>
      <c r="C27" s="72" t="s">
        <v>31</v>
      </c>
      <c r="D27" s="264" t="s">
        <v>58</v>
      </c>
      <c r="E27" s="155"/>
      <c r="F27" s="72" t="s">
        <v>59</v>
      </c>
      <c r="G27" s="72"/>
      <c r="H27" s="43"/>
      <c r="I27" s="72"/>
      <c r="J27" s="73"/>
    </row>
    <row r="28" spans="1:10" ht="15.75" customHeight="1" x14ac:dyDescent="0.25">
      <c r="A28" s="172" t="str">
        <f>UPPER('input data'!B24)</f>
        <v>MSDU2926407</v>
      </c>
      <c r="B28" s="155"/>
      <c r="C28" s="65">
        <f>'input data'!B25</f>
        <v>212</v>
      </c>
      <c r="D28" s="287" t="s">
        <v>79</v>
      </c>
      <c r="E28" s="155"/>
      <c r="F28" s="65" t="s">
        <v>153</v>
      </c>
      <c r="G28" s="65"/>
      <c r="H28" s="43"/>
      <c r="I28" s="43"/>
      <c r="J28" s="53"/>
    </row>
    <row r="29" spans="1:10" ht="15.75" customHeight="1" x14ac:dyDescent="0.25">
      <c r="A29" s="83"/>
      <c r="B29" s="84"/>
      <c r="C29" s="84"/>
      <c r="D29" s="84"/>
      <c r="E29" s="84"/>
      <c r="F29" s="84"/>
      <c r="G29" s="84"/>
      <c r="H29" s="84"/>
      <c r="I29" s="84"/>
      <c r="J29" s="85"/>
    </row>
    <row r="30" spans="1:10" ht="15.75" customHeight="1" x14ac:dyDescent="0.25">
      <c r="A30" s="83" t="s">
        <v>80</v>
      </c>
      <c r="B30" s="84"/>
      <c r="C30" s="84" t="str">
        <f>'input data'!B15</f>
        <v>Wooden Crate Packing</v>
      </c>
      <c r="D30" s="84"/>
      <c r="E30" s="84"/>
      <c r="F30" s="84"/>
      <c r="G30" s="84"/>
      <c r="H30" s="84"/>
      <c r="I30" s="84"/>
      <c r="J30" s="85"/>
    </row>
    <row r="31" spans="1:10" ht="15.75" customHeight="1" x14ac:dyDescent="0.25">
      <c r="A31" s="83" t="s">
        <v>81</v>
      </c>
      <c r="B31" s="84"/>
      <c r="C31" s="84"/>
      <c r="D31" s="84"/>
      <c r="E31" s="84"/>
      <c r="F31" s="84"/>
      <c r="G31" s="84"/>
      <c r="H31" s="84"/>
      <c r="I31" s="84"/>
      <c r="J31" s="85"/>
    </row>
    <row r="32" spans="1:10" ht="15.75" customHeight="1" x14ac:dyDescent="0.25">
      <c r="A32" s="86"/>
      <c r="B32" s="87"/>
      <c r="C32" s="87"/>
      <c r="D32" s="87"/>
      <c r="E32" s="87"/>
      <c r="F32" s="87"/>
      <c r="G32" s="87"/>
      <c r="H32" s="87"/>
      <c r="I32" s="87"/>
      <c r="J32" s="88"/>
    </row>
    <row r="33" spans="1:10" ht="15.75" customHeight="1" x14ac:dyDescent="0.25">
      <c r="A33" s="288" t="s">
        <v>82</v>
      </c>
      <c r="B33" s="152"/>
      <c r="C33" s="152"/>
      <c r="D33" s="152"/>
      <c r="E33" s="152"/>
      <c r="F33" s="153"/>
      <c r="G33" s="289" t="s">
        <v>106</v>
      </c>
      <c r="H33" s="152"/>
      <c r="I33" s="152"/>
      <c r="J33" s="179"/>
    </row>
    <row r="34" spans="1:10" ht="15.75" customHeight="1" x14ac:dyDescent="0.25">
      <c r="A34" s="166" t="s">
        <v>148</v>
      </c>
      <c r="B34" s="167"/>
      <c r="C34" s="167"/>
      <c r="D34" s="167"/>
      <c r="E34" s="167"/>
      <c r="F34" s="168"/>
      <c r="G34" s="52"/>
      <c r="H34" s="43"/>
      <c r="I34" s="43"/>
      <c r="J34" s="53"/>
    </row>
    <row r="35" spans="1:10" ht="15.75" customHeight="1" x14ac:dyDescent="0.25">
      <c r="A35" s="166"/>
      <c r="B35" s="167"/>
      <c r="C35" s="167"/>
      <c r="D35" s="167"/>
      <c r="E35" s="167"/>
      <c r="F35" s="168"/>
      <c r="G35" s="52"/>
      <c r="H35" s="43"/>
      <c r="I35" s="43"/>
      <c r="J35" s="53"/>
    </row>
    <row r="36" spans="1:10" ht="15.75" customHeight="1" thickBot="1" x14ac:dyDescent="0.3">
      <c r="A36" s="284" t="s">
        <v>83</v>
      </c>
      <c r="B36" s="204"/>
      <c r="C36" s="204"/>
      <c r="D36" s="204"/>
      <c r="E36" s="204"/>
      <c r="F36" s="285"/>
      <c r="G36" s="286" t="s">
        <v>84</v>
      </c>
      <c r="H36" s="204"/>
      <c r="I36" s="204"/>
      <c r="J36" s="205"/>
    </row>
    <row r="37" spans="1:10" ht="15.75" customHeight="1" x14ac:dyDescent="0.25"/>
    <row r="38" spans="1:10" ht="15.75" customHeight="1" x14ac:dyDescent="0.25"/>
    <row r="39" spans="1:10" ht="15.75" customHeight="1" x14ac:dyDescent="0.25"/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</sheetData>
  <mergeCells count="52">
    <mergeCell ref="A36:F36"/>
    <mergeCell ref="G36:J36"/>
    <mergeCell ref="A27:B27"/>
    <mergeCell ref="D27:E27"/>
    <mergeCell ref="A28:B28"/>
    <mergeCell ref="D28:E28"/>
    <mergeCell ref="A33:F33"/>
    <mergeCell ref="G33:J33"/>
    <mergeCell ref="A34:F35"/>
    <mergeCell ref="A1:J1"/>
    <mergeCell ref="A2:F2"/>
    <mergeCell ref="G2:H2"/>
    <mergeCell ref="I2:J2"/>
    <mergeCell ref="A3:F3"/>
    <mergeCell ref="G3:H3"/>
    <mergeCell ref="I3:J3"/>
    <mergeCell ref="A4:F10"/>
    <mergeCell ref="G4:J4"/>
    <mergeCell ref="B22:C22"/>
    <mergeCell ref="D22:F22"/>
    <mergeCell ref="I22:J22"/>
    <mergeCell ref="G5:J5"/>
    <mergeCell ref="A11:E11"/>
    <mergeCell ref="A17:C17"/>
    <mergeCell ref="D17:F17"/>
    <mergeCell ref="G17:J17"/>
    <mergeCell ref="A18:C18"/>
    <mergeCell ref="D18:F18"/>
    <mergeCell ref="G18:J18"/>
    <mergeCell ref="A19:C20"/>
    <mergeCell ref="D19:F20"/>
    <mergeCell ref="G19:J20"/>
    <mergeCell ref="G12:J13"/>
    <mergeCell ref="A12:F13"/>
    <mergeCell ref="A14:C14"/>
    <mergeCell ref="A15:C15"/>
    <mergeCell ref="A16:C16"/>
    <mergeCell ref="D14:F14"/>
    <mergeCell ref="D15:F15"/>
    <mergeCell ref="D16:F16"/>
    <mergeCell ref="B23:C23"/>
    <mergeCell ref="D23:H23"/>
    <mergeCell ref="I23:J23"/>
    <mergeCell ref="I25:J25"/>
    <mergeCell ref="G14:H14"/>
    <mergeCell ref="I14:J14"/>
    <mergeCell ref="G15:H15"/>
    <mergeCell ref="I15:J15"/>
    <mergeCell ref="G16:J16"/>
    <mergeCell ref="B24:C24"/>
    <mergeCell ref="D24:H24"/>
    <mergeCell ref="I24:J24"/>
  </mergeCells>
  <pageMargins left="0.25" right="0.25" top="0.75" bottom="0.75" header="0" footer="0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10" zoomScaleNormal="100" workbookViewId="0">
      <selection activeCell="N20" sqref="N19:N20"/>
    </sheetView>
  </sheetViews>
  <sheetFormatPr defaultColWidth="14.42578125" defaultRowHeight="15" customHeight="1" x14ac:dyDescent="0.25"/>
  <cols>
    <col min="1" max="2" width="8.7109375" customWidth="1"/>
    <col min="3" max="3" width="18.85546875" bestFit="1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30"/>
      <c r="B1" s="304" t="s">
        <v>105</v>
      </c>
      <c r="C1" s="305"/>
      <c r="D1" s="305"/>
      <c r="E1" s="305"/>
      <c r="F1" s="305"/>
      <c r="G1" s="305"/>
      <c r="H1" s="305"/>
      <c r="I1" s="305"/>
      <c r="J1" s="305"/>
      <c r="K1" s="306"/>
      <c r="R1" s="310"/>
      <c r="S1" s="280"/>
      <c r="T1" s="280"/>
      <c r="U1" s="280"/>
      <c r="V1" s="280"/>
      <c r="W1" s="296"/>
      <c r="X1" s="280"/>
      <c r="Y1" s="280"/>
    </row>
    <row r="2" spans="1:25" ht="36.75" thickBot="1" x14ac:dyDescent="0.6">
      <c r="A2" s="30"/>
      <c r="B2" s="307"/>
      <c r="C2" s="308"/>
      <c r="D2" s="308"/>
      <c r="E2" s="308"/>
      <c r="F2" s="308"/>
      <c r="G2" s="308"/>
      <c r="H2" s="308"/>
      <c r="I2" s="308"/>
      <c r="J2" s="308"/>
      <c r="K2" s="309"/>
    </row>
    <row r="3" spans="1:25" x14ac:dyDescent="0.25">
      <c r="A3" s="31"/>
      <c r="B3" s="297" t="s">
        <v>123</v>
      </c>
      <c r="C3" s="152"/>
      <c r="D3" s="152"/>
      <c r="E3" s="152"/>
      <c r="F3" s="152"/>
      <c r="G3" s="152"/>
      <c r="H3" s="152"/>
      <c r="I3" s="152"/>
      <c r="J3" s="152"/>
      <c r="K3" s="153"/>
    </row>
    <row r="4" spans="1:25" x14ac:dyDescent="0.25">
      <c r="A4" s="31"/>
      <c r="B4" s="298" t="s">
        <v>124</v>
      </c>
      <c r="C4" s="280"/>
      <c r="D4" s="280"/>
      <c r="E4" s="280"/>
      <c r="F4" s="280"/>
      <c r="G4" s="280"/>
      <c r="H4" s="280"/>
      <c r="I4" s="280"/>
      <c r="J4" s="280"/>
      <c r="K4" s="299"/>
    </row>
    <row r="5" spans="1:25" x14ac:dyDescent="0.25">
      <c r="A5" s="28"/>
      <c r="B5" s="300" t="s">
        <v>125</v>
      </c>
      <c r="C5" s="301"/>
      <c r="D5" s="301"/>
      <c r="E5" s="301"/>
      <c r="F5" s="301"/>
      <c r="G5" s="301"/>
      <c r="H5" s="301"/>
      <c r="I5" s="301"/>
      <c r="J5" s="301"/>
      <c r="K5" s="302"/>
    </row>
    <row r="6" spans="1:25" x14ac:dyDescent="0.25">
      <c r="A6" s="4"/>
      <c r="B6" s="23"/>
      <c r="C6" s="15"/>
      <c r="D6" s="15"/>
      <c r="E6" s="15"/>
      <c r="F6" s="15"/>
      <c r="G6" s="15"/>
      <c r="H6" s="15"/>
      <c r="I6" s="15"/>
      <c r="J6" s="15"/>
      <c r="K6" s="16"/>
    </row>
    <row r="7" spans="1:25" ht="18.75" x14ac:dyDescent="0.3">
      <c r="A7" s="32"/>
      <c r="B7" s="303" t="s">
        <v>132</v>
      </c>
      <c r="C7" s="280"/>
      <c r="D7" s="280"/>
      <c r="E7" s="280"/>
      <c r="F7" s="280"/>
      <c r="G7" s="280"/>
      <c r="H7" s="280"/>
      <c r="I7" s="280"/>
      <c r="J7" s="280"/>
      <c r="K7" s="299"/>
    </row>
    <row r="8" spans="1:25" x14ac:dyDescent="0.25">
      <c r="A8" s="4"/>
      <c r="B8" s="17"/>
      <c r="C8" s="4"/>
      <c r="D8" s="4"/>
      <c r="E8" s="4"/>
      <c r="F8" s="4"/>
      <c r="G8" s="4"/>
      <c r="H8" s="4"/>
      <c r="I8" s="4"/>
      <c r="J8" s="4"/>
      <c r="K8" s="18"/>
    </row>
    <row r="9" spans="1:25" x14ac:dyDescent="0.25">
      <c r="A9" s="4"/>
      <c r="B9" s="17" t="s">
        <v>85</v>
      </c>
      <c r="C9" s="41">
        <v>46007</v>
      </c>
      <c r="D9" s="4"/>
      <c r="E9" s="4"/>
      <c r="F9" s="4"/>
      <c r="G9" s="4"/>
      <c r="H9" s="4"/>
      <c r="I9" s="4"/>
      <c r="J9" s="4"/>
      <c r="K9" s="18"/>
    </row>
    <row r="10" spans="1:25" x14ac:dyDescent="0.25">
      <c r="A10" s="4"/>
      <c r="B10" s="17" t="s">
        <v>86</v>
      </c>
      <c r="C10" s="33" t="s">
        <v>156</v>
      </c>
      <c r="D10" s="4"/>
      <c r="E10" s="4"/>
      <c r="F10" s="4"/>
      <c r="G10" s="4"/>
      <c r="H10" s="4"/>
      <c r="I10" s="4"/>
      <c r="J10" s="4"/>
      <c r="K10" s="18"/>
    </row>
    <row r="11" spans="1:25" x14ac:dyDescent="0.25">
      <c r="A11" s="4"/>
      <c r="B11" s="17"/>
      <c r="C11" s="4"/>
      <c r="D11" s="4"/>
      <c r="E11" s="4"/>
      <c r="F11" s="4"/>
      <c r="G11" s="4"/>
      <c r="H11" s="4"/>
      <c r="I11" s="4"/>
      <c r="J11" s="4"/>
      <c r="K11" s="18"/>
    </row>
    <row r="12" spans="1:25" x14ac:dyDescent="0.25">
      <c r="A12" s="4"/>
      <c r="B12" s="17" t="s">
        <v>87</v>
      </c>
      <c r="C12" s="4"/>
      <c r="D12" s="4"/>
      <c r="E12" s="4"/>
      <c r="F12" s="4"/>
      <c r="G12" s="4"/>
      <c r="H12" s="4"/>
      <c r="I12" s="4"/>
      <c r="J12" s="4"/>
      <c r="K12" s="18"/>
    </row>
    <row r="13" spans="1:25" x14ac:dyDescent="0.25">
      <c r="A13" s="14"/>
      <c r="B13" s="290" t="s">
        <v>157</v>
      </c>
      <c r="C13" s="280"/>
      <c r="D13" s="280"/>
      <c r="E13" s="280"/>
      <c r="F13" s="280"/>
      <c r="G13" s="280"/>
      <c r="H13" s="4"/>
      <c r="I13" s="4"/>
      <c r="J13" s="4"/>
      <c r="K13" s="18"/>
    </row>
    <row r="14" spans="1:25" x14ac:dyDescent="0.25">
      <c r="A14" s="34"/>
      <c r="B14" s="291" t="s">
        <v>158</v>
      </c>
      <c r="C14" s="280"/>
      <c r="D14" s="280"/>
      <c r="E14" s="280"/>
      <c r="F14" s="280"/>
      <c r="G14" s="280"/>
      <c r="H14" s="4"/>
      <c r="I14" s="4"/>
      <c r="J14" s="4"/>
      <c r="K14" s="18"/>
    </row>
    <row r="15" spans="1:25" ht="49.5" customHeight="1" x14ac:dyDescent="0.25">
      <c r="A15" s="34"/>
      <c r="B15" s="292"/>
      <c r="C15" s="280"/>
      <c r="D15" s="280"/>
      <c r="E15" s="280"/>
      <c r="F15" s="280"/>
      <c r="G15" s="280"/>
      <c r="H15" s="4"/>
      <c r="I15" s="4"/>
      <c r="J15" s="4"/>
      <c r="K15" s="18"/>
    </row>
    <row r="16" spans="1:25" x14ac:dyDescent="0.25">
      <c r="A16" s="4"/>
      <c r="B16" s="17" t="s">
        <v>88</v>
      </c>
      <c r="C16" s="4"/>
      <c r="D16" s="4"/>
      <c r="E16" s="4"/>
      <c r="F16" s="4"/>
      <c r="G16" s="4"/>
      <c r="H16" s="4"/>
      <c r="I16" s="4"/>
      <c r="J16" s="4"/>
      <c r="K16" s="18"/>
    </row>
    <row r="17" spans="1:17" ht="15.75" thickBot="1" x14ac:dyDescent="0.3">
      <c r="A17" s="4"/>
      <c r="B17" s="21"/>
      <c r="C17" s="22"/>
      <c r="D17" s="22"/>
      <c r="E17" s="22"/>
      <c r="F17" s="22"/>
      <c r="G17" s="22"/>
      <c r="H17" s="22"/>
      <c r="I17" s="22"/>
      <c r="J17" s="22"/>
      <c r="K17" s="20"/>
    </row>
    <row r="18" spans="1:17" ht="15.75" thickBot="1" x14ac:dyDescent="0.3">
      <c r="A18" s="29"/>
      <c r="B18" s="293" t="s">
        <v>89</v>
      </c>
      <c r="C18" s="294"/>
      <c r="D18" s="294"/>
      <c r="E18" s="295"/>
      <c r="F18" s="293" t="s">
        <v>90</v>
      </c>
      <c r="G18" s="223"/>
      <c r="H18" s="293" t="s">
        <v>130</v>
      </c>
      <c r="I18" s="223"/>
      <c r="J18" s="293" t="s">
        <v>91</v>
      </c>
      <c r="K18" s="223"/>
    </row>
    <row r="19" spans="1:17" s="59" customFormat="1" ht="18" customHeight="1" thickBot="1" x14ac:dyDescent="0.3">
      <c r="A19" s="58"/>
      <c r="B19" s="311" t="s">
        <v>133</v>
      </c>
      <c r="C19" s="312"/>
      <c r="D19" s="312"/>
      <c r="E19" s="313"/>
      <c r="F19" s="324">
        <v>204.84</v>
      </c>
      <c r="G19" s="325"/>
      <c r="H19" s="326">
        <v>2345.6799999999998</v>
      </c>
      <c r="I19" s="325"/>
      <c r="J19" s="327">
        <f>F19*H19</f>
        <v>480489.09119999997</v>
      </c>
      <c r="K19" s="325"/>
      <c r="N19" s="102"/>
    </row>
    <row r="20" spans="1:17" ht="15.75" customHeight="1" x14ac:dyDescent="0.25">
      <c r="A20" s="28"/>
      <c r="B20" s="317"/>
      <c r="C20" s="280"/>
      <c r="D20" s="280"/>
      <c r="E20" s="280"/>
      <c r="F20" s="296"/>
      <c r="G20" s="334"/>
      <c r="H20" s="329" t="s">
        <v>134</v>
      </c>
      <c r="I20" s="330"/>
      <c r="J20" s="314">
        <f>(J19)*0.001</f>
        <v>480.48909119999996</v>
      </c>
      <c r="K20" s="315"/>
    </row>
    <row r="21" spans="1:17" ht="15.75" customHeight="1" thickBot="1" x14ac:dyDescent="0.3">
      <c r="A21" s="3"/>
      <c r="B21" s="328"/>
      <c r="C21" s="301"/>
      <c r="D21" s="301"/>
      <c r="E21" s="301"/>
      <c r="F21" s="22"/>
      <c r="G21" s="35"/>
      <c r="H21" s="332" t="s">
        <v>77</v>
      </c>
      <c r="I21" s="333"/>
      <c r="J21" s="322">
        <f>SUM(J19:K20)</f>
        <v>480969.58029119996</v>
      </c>
      <c r="K21" s="323"/>
    </row>
    <row r="22" spans="1:17" ht="15.75" customHeight="1" thickBot="1" x14ac:dyDescent="0.3">
      <c r="A22" s="28"/>
      <c r="B22" s="317"/>
      <c r="C22" s="280"/>
      <c r="D22" s="280"/>
      <c r="E22" s="280"/>
      <c r="F22" s="4"/>
      <c r="G22" s="4"/>
      <c r="H22" s="318"/>
      <c r="I22" s="280"/>
      <c r="J22" s="296"/>
      <c r="K22" s="299"/>
      <c r="M22" t="s">
        <v>154</v>
      </c>
      <c r="N22">
        <v>218</v>
      </c>
      <c r="O22" s="103">
        <f>N22*10.76</f>
        <v>2345.6799999999998</v>
      </c>
    </row>
    <row r="23" spans="1:17" ht="15.75" customHeight="1" x14ac:dyDescent="0.25">
      <c r="A23" s="29"/>
      <c r="B23" s="319" t="s">
        <v>92</v>
      </c>
      <c r="C23" s="225"/>
      <c r="D23" s="27"/>
      <c r="E23" s="27"/>
      <c r="F23" s="27"/>
      <c r="G23" s="27"/>
      <c r="H23" s="27"/>
      <c r="I23" s="27"/>
      <c r="J23" s="320">
        <f>J21</f>
        <v>480969.58029119996</v>
      </c>
      <c r="K23" s="223"/>
      <c r="M23" t="s">
        <v>155</v>
      </c>
      <c r="O23">
        <v>2288</v>
      </c>
      <c r="P23">
        <v>210</v>
      </c>
      <c r="Q23">
        <f>O23*P23</f>
        <v>480480</v>
      </c>
    </row>
    <row r="24" spans="1:17" ht="15.75" customHeight="1" x14ac:dyDescent="0.25">
      <c r="A24" s="4"/>
      <c r="B24" s="17"/>
      <c r="C24" s="4"/>
      <c r="D24" s="4"/>
      <c r="E24" s="4"/>
      <c r="F24" s="4"/>
      <c r="G24" s="4"/>
      <c r="H24" s="4"/>
      <c r="I24" s="4"/>
      <c r="J24" s="4"/>
      <c r="K24" s="18"/>
      <c r="O24">
        <f>O22-O23</f>
        <v>57.679999999999836</v>
      </c>
      <c r="Q24">
        <f>Q23/O22</f>
        <v>204.83612427952664</v>
      </c>
    </row>
    <row r="25" spans="1:17" ht="15.75" customHeight="1" x14ac:dyDescent="0.25">
      <c r="A25" s="36"/>
      <c r="B25" s="331" t="s">
        <v>93</v>
      </c>
      <c r="C25" s="280"/>
      <c r="D25" s="4"/>
      <c r="E25" s="4"/>
      <c r="F25" s="4"/>
      <c r="G25" s="4"/>
      <c r="H25" s="4"/>
      <c r="I25" s="4"/>
      <c r="J25" s="4"/>
      <c r="K25" s="18"/>
    </row>
    <row r="26" spans="1:17" ht="15.75" customHeight="1" x14ac:dyDescent="0.25">
      <c r="A26" s="4"/>
      <c r="B26" s="17" t="s">
        <v>94</v>
      </c>
      <c r="C26" s="4"/>
      <c r="D26" s="1" t="s">
        <v>150</v>
      </c>
      <c r="E26" s="1"/>
      <c r="F26" s="1"/>
      <c r="G26" s="1"/>
      <c r="H26" s="4"/>
      <c r="I26" s="4"/>
      <c r="J26" s="4"/>
      <c r="K26" s="18"/>
    </row>
    <row r="27" spans="1:17" ht="15.75" customHeight="1" x14ac:dyDescent="0.25">
      <c r="A27" s="4"/>
      <c r="B27" s="17" t="s">
        <v>131</v>
      </c>
      <c r="C27" s="4"/>
      <c r="D27" s="321"/>
      <c r="E27" s="321"/>
      <c r="F27" s="321"/>
      <c r="G27" s="4"/>
      <c r="H27" s="4"/>
      <c r="I27" s="4"/>
      <c r="J27" s="4"/>
      <c r="K27" s="18"/>
    </row>
    <row r="28" spans="1:17" ht="15.75" customHeight="1" x14ac:dyDescent="0.25">
      <c r="A28" s="4"/>
      <c r="B28" s="17" t="s">
        <v>95</v>
      </c>
      <c r="C28" s="4"/>
      <c r="D28" s="4"/>
      <c r="E28" s="4"/>
      <c r="F28" s="4"/>
      <c r="G28" s="4"/>
      <c r="H28" s="4"/>
      <c r="I28" s="4"/>
      <c r="J28" s="4"/>
      <c r="K28" s="18"/>
    </row>
    <row r="29" spans="1:17" ht="15.75" customHeight="1" x14ac:dyDescent="0.25">
      <c r="A29" s="4"/>
      <c r="B29" s="17" t="s">
        <v>96</v>
      </c>
      <c r="C29" s="4"/>
      <c r="D29" s="4"/>
      <c r="E29" s="4" t="s">
        <v>110</v>
      </c>
      <c r="F29" s="4"/>
      <c r="G29" s="4"/>
      <c r="H29" s="4"/>
      <c r="I29" s="4"/>
      <c r="J29" s="4"/>
      <c r="K29" s="18"/>
    </row>
    <row r="30" spans="1:17" ht="15.75" customHeight="1" x14ac:dyDescent="0.25">
      <c r="A30" s="4"/>
      <c r="B30" s="17" t="s">
        <v>97</v>
      </c>
      <c r="C30" s="4"/>
      <c r="D30" s="4"/>
      <c r="E30" s="4"/>
      <c r="F30" s="4"/>
      <c r="G30" s="4"/>
      <c r="H30" s="4"/>
      <c r="I30" s="4"/>
      <c r="J30" s="4"/>
      <c r="K30" s="18"/>
    </row>
    <row r="31" spans="1:17" ht="15.75" customHeight="1" x14ac:dyDescent="0.25">
      <c r="A31" s="4"/>
      <c r="B31" s="17" t="s">
        <v>98</v>
      </c>
      <c r="C31" s="4"/>
      <c r="D31" s="4"/>
      <c r="E31" s="4"/>
      <c r="F31" s="4"/>
      <c r="G31" s="4"/>
      <c r="H31" s="4"/>
      <c r="I31" s="4"/>
      <c r="J31" s="4"/>
      <c r="K31" s="18"/>
    </row>
    <row r="32" spans="1:17" ht="15.75" customHeight="1" x14ac:dyDescent="0.25">
      <c r="A32" s="4"/>
      <c r="B32" s="17" t="s">
        <v>99</v>
      </c>
      <c r="C32" s="4"/>
      <c r="D32" s="1" t="s">
        <v>105</v>
      </c>
      <c r="E32" s="4"/>
      <c r="F32" s="4"/>
      <c r="G32" s="4"/>
      <c r="H32" s="4"/>
      <c r="I32" s="4"/>
      <c r="J32" s="4"/>
      <c r="K32" s="18"/>
    </row>
    <row r="33" spans="1:11" ht="15.75" customHeight="1" x14ac:dyDescent="0.25">
      <c r="A33" s="4"/>
      <c r="B33" s="17"/>
      <c r="C33" s="4"/>
      <c r="D33" s="1" t="s">
        <v>123</v>
      </c>
      <c r="E33" s="4"/>
      <c r="F33" s="4"/>
      <c r="G33" s="4"/>
      <c r="H33" s="4"/>
      <c r="I33" s="4"/>
      <c r="J33" s="4"/>
      <c r="K33" s="18"/>
    </row>
    <row r="34" spans="1:11" ht="15.75" customHeight="1" x14ac:dyDescent="0.25">
      <c r="A34" s="4"/>
      <c r="B34" s="17"/>
      <c r="C34" s="4"/>
      <c r="D34" s="1" t="s">
        <v>126</v>
      </c>
      <c r="E34" s="1"/>
      <c r="F34" s="4"/>
      <c r="G34" s="4"/>
      <c r="H34" s="4"/>
      <c r="I34" s="4"/>
      <c r="J34" s="4"/>
      <c r="K34" s="18"/>
    </row>
    <row r="35" spans="1:11" ht="15.75" customHeight="1" x14ac:dyDescent="0.25">
      <c r="A35" s="37"/>
      <c r="B35" s="316" t="s">
        <v>127</v>
      </c>
      <c r="C35" s="280"/>
      <c r="D35" s="280"/>
      <c r="E35" s="280"/>
      <c r="F35" s="280"/>
      <c r="G35" s="280"/>
      <c r="H35" s="4"/>
      <c r="I35" s="4"/>
      <c r="J35" s="4"/>
      <c r="K35" s="18"/>
    </row>
    <row r="36" spans="1:11" ht="15.75" customHeight="1" x14ac:dyDescent="0.25">
      <c r="A36" s="37"/>
      <c r="B36" s="316" t="s">
        <v>128</v>
      </c>
      <c r="C36" s="280"/>
      <c r="D36" s="280"/>
      <c r="E36" s="280"/>
      <c r="F36" s="280"/>
      <c r="G36" s="280"/>
      <c r="H36" s="4"/>
      <c r="I36" s="4"/>
      <c r="J36" s="4"/>
      <c r="K36" s="18"/>
    </row>
    <row r="37" spans="1:11" ht="15.75" customHeight="1" x14ac:dyDescent="0.25">
      <c r="A37" s="26"/>
      <c r="B37" s="25" t="s">
        <v>100</v>
      </c>
      <c r="C37" s="38" t="str">
        <f>'input data'!B6</f>
        <v>AD240725023182F</v>
      </c>
      <c r="D37" s="26"/>
      <c r="E37" s="26"/>
      <c r="F37" s="26"/>
      <c r="G37" s="26"/>
      <c r="H37" s="4"/>
      <c r="I37" s="4"/>
      <c r="J37" s="4"/>
      <c r="K37" s="18"/>
    </row>
    <row r="38" spans="1:11" ht="15.75" customHeight="1" x14ac:dyDescent="0.25">
      <c r="A38" s="4"/>
      <c r="B38" s="24" t="s">
        <v>106</v>
      </c>
      <c r="C38" s="4"/>
      <c r="D38" s="4"/>
      <c r="E38" s="4"/>
      <c r="F38" s="4"/>
      <c r="G38" s="4"/>
      <c r="H38" s="4"/>
      <c r="I38" s="4"/>
      <c r="J38" s="4"/>
      <c r="K38" s="18"/>
    </row>
    <row r="39" spans="1:11" ht="15.75" customHeight="1" x14ac:dyDescent="0.25">
      <c r="A39" s="4"/>
      <c r="B39" s="17"/>
      <c r="C39" s="4"/>
      <c r="D39" s="4"/>
      <c r="E39" s="4"/>
      <c r="F39" s="4"/>
      <c r="G39" s="4"/>
      <c r="H39" s="4"/>
      <c r="I39" s="4"/>
      <c r="J39" s="4"/>
      <c r="K39" s="18"/>
    </row>
    <row r="40" spans="1:11" ht="15.75" customHeight="1" x14ac:dyDescent="0.25">
      <c r="A40" s="4"/>
      <c r="B40" s="17"/>
      <c r="C40" s="4"/>
      <c r="D40" s="4"/>
      <c r="E40" s="4"/>
      <c r="F40" s="4"/>
      <c r="G40" s="4"/>
      <c r="H40" s="4"/>
      <c r="I40" s="4"/>
      <c r="J40" s="4"/>
      <c r="K40" s="18"/>
    </row>
    <row r="41" spans="1:11" ht="15.75" customHeight="1" x14ac:dyDescent="0.25">
      <c r="A41" s="4"/>
      <c r="B41" s="21"/>
      <c r="C41" s="22"/>
      <c r="D41" s="22"/>
      <c r="E41" s="22"/>
      <c r="F41" s="22"/>
      <c r="G41" s="22"/>
      <c r="H41" s="22"/>
      <c r="I41" s="22"/>
      <c r="J41" s="22"/>
      <c r="K41" s="20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F20:G20"/>
    <mergeCell ref="B19:E19"/>
    <mergeCell ref="J20:K20"/>
    <mergeCell ref="B35:G35"/>
    <mergeCell ref="B22:E22"/>
    <mergeCell ref="H22:I22"/>
    <mergeCell ref="J22:K22"/>
    <mergeCell ref="B23:C23"/>
    <mergeCell ref="J23:K23"/>
    <mergeCell ref="D27:F27"/>
    <mergeCell ref="J21:K21"/>
    <mergeCell ref="F19:G19"/>
    <mergeCell ref="H19:I19"/>
    <mergeCell ref="J19:K19"/>
    <mergeCell ref="B20:E20"/>
    <mergeCell ref="W1:Y1"/>
    <mergeCell ref="B3:K3"/>
    <mergeCell ref="B4:K4"/>
    <mergeCell ref="B5:K5"/>
    <mergeCell ref="B7:K7"/>
    <mergeCell ref="B1:K2"/>
    <mergeCell ref="R1:V1"/>
    <mergeCell ref="B13:G13"/>
    <mergeCell ref="B14:G15"/>
    <mergeCell ref="F18:G18"/>
    <mergeCell ref="H18:I18"/>
    <mergeCell ref="J18:K18"/>
    <mergeCell ref="B18:E18"/>
  </mergeCells>
  <pageMargins left="0.7" right="0.7" top="0.75" bottom="0.75" header="0" footer="0"/>
  <pageSetup scale="7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997"/>
  <sheetViews>
    <sheetView topLeftCell="A13" zoomScaleNormal="100" workbookViewId="0">
      <selection activeCell="M8" sqref="M8"/>
    </sheetView>
  </sheetViews>
  <sheetFormatPr defaultColWidth="14.42578125" defaultRowHeight="15" x14ac:dyDescent="0.25"/>
  <cols>
    <col min="1" max="2" width="8.7109375" style="60" customWidth="1"/>
    <col min="3" max="3" width="18.85546875" style="60" bestFit="1" customWidth="1"/>
    <col min="4" max="13" width="8.7109375" style="60" customWidth="1"/>
    <col min="14" max="14" width="10.7109375" style="60" bestFit="1" customWidth="1"/>
    <col min="15" max="16" width="8.7109375" style="60" customWidth="1"/>
    <col min="17" max="17" width="17.42578125" style="60" customWidth="1"/>
    <col min="18" max="27" width="8.7109375" style="60" customWidth="1"/>
    <col min="28" max="16384" width="14.42578125" style="60"/>
  </cols>
  <sheetData>
    <row r="1" spans="1:25" ht="36" x14ac:dyDescent="0.55000000000000004">
      <c r="A1" s="30"/>
      <c r="B1" s="304" t="s">
        <v>105</v>
      </c>
      <c r="C1" s="305"/>
      <c r="D1" s="305"/>
      <c r="E1" s="305"/>
      <c r="F1" s="305"/>
      <c r="G1" s="305"/>
      <c r="H1" s="305"/>
      <c r="I1" s="305"/>
      <c r="J1" s="305"/>
      <c r="K1" s="306"/>
      <c r="R1" s="310"/>
      <c r="S1" s="280"/>
      <c r="T1" s="280"/>
      <c r="U1" s="280"/>
      <c r="V1" s="280"/>
      <c r="W1" s="296"/>
      <c r="X1" s="280"/>
      <c r="Y1" s="280"/>
    </row>
    <row r="2" spans="1:25" ht="36.75" thickBot="1" x14ac:dyDescent="0.6">
      <c r="A2" s="30"/>
      <c r="B2" s="307"/>
      <c r="C2" s="308"/>
      <c r="D2" s="308"/>
      <c r="E2" s="308"/>
      <c r="F2" s="308"/>
      <c r="G2" s="308"/>
      <c r="H2" s="308"/>
      <c r="I2" s="308"/>
      <c r="J2" s="308"/>
      <c r="K2" s="309"/>
    </row>
    <row r="3" spans="1:25" x14ac:dyDescent="0.25">
      <c r="A3" s="31"/>
      <c r="B3" s="297" t="s">
        <v>123</v>
      </c>
      <c r="C3" s="152"/>
      <c r="D3" s="152"/>
      <c r="E3" s="152"/>
      <c r="F3" s="152"/>
      <c r="G3" s="152"/>
      <c r="H3" s="152"/>
      <c r="I3" s="152"/>
      <c r="J3" s="152"/>
      <c r="K3" s="153"/>
    </row>
    <row r="4" spans="1:25" x14ac:dyDescent="0.25">
      <c r="A4" s="31"/>
      <c r="B4" s="298" t="s">
        <v>124</v>
      </c>
      <c r="C4" s="280"/>
      <c r="D4" s="280"/>
      <c r="E4" s="280"/>
      <c r="F4" s="280"/>
      <c r="G4" s="280"/>
      <c r="H4" s="280"/>
      <c r="I4" s="280"/>
      <c r="J4" s="280"/>
      <c r="K4" s="299"/>
    </row>
    <row r="5" spans="1:25" ht="15.75" thickBot="1" x14ac:dyDescent="0.3">
      <c r="A5" s="62"/>
      <c r="B5" s="300" t="s">
        <v>125</v>
      </c>
      <c r="C5" s="301"/>
      <c r="D5" s="301"/>
      <c r="E5" s="301"/>
      <c r="F5" s="301"/>
      <c r="G5" s="301"/>
      <c r="H5" s="301"/>
      <c r="I5" s="301"/>
      <c r="J5" s="301"/>
      <c r="K5" s="302"/>
    </row>
    <row r="6" spans="1:25" x14ac:dyDescent="0.25">
      <c r="A6" s="4"/>
      <c r="B6" s="23"/>
      <c r="C6" s="15"/>
      <c r="D6" s="15"/>
      <c r="E6" s="15"/>
      <c r="F6" s="15"/>
      <c r="G6" s="15"/>
      <c r="H6" s="15"/>
      <c r="I6" s="15"/>
      <c r="J6" s="15"/>
      <c r="K6" s="16"/>
    </row>
    <row r="7" spans="1:25" ht="18.75" x14ac:dyDescent="0.3">
      <c r="A7" s="32"/>
      <c r="B7" s="303" t="s">
        <v>132</v>
      </c>
      <c r="C7" s="280"/>
      <c r="D7" s="280"/>
      <c r="E7" s="280"/>
      <c r="F7" s="280"/>
      <c r="G7" s="280"/>
      <c r="H7" s="280"/>
      <c r="I7" s="280"/>
      <c r="J7" s="280"/>
      <c r="K7" s="299"/>
    </row>
    <row r="8" spans="1:25" x14ac:dyDescent="0.25">
      <c r="A8" s="4"/>
      <c r="B8" s="17"/>
      <c r="C8" s="4"/>
      <c r="D8" s="4"/>
      <c r="E8" s="4"/>
      <c r="F8" s="4"/>
      <c r="G8" s="4"/>
      <c r="H8" s="4"/>
      <c r="I8" s="4"/>
      <c r="J8" s="4"/>
      <c r="K8" s="18"/>
    </row>
    <row r="9" spans="1:25" x14ac:dyDescent="0.25">
      <c r="A9" s="4"/>
      <c r="B9" s="17" t="s">
        <v>85</v>
      </c>
      <c r="C9" s="41">
        <v>46008</v>
      </c>
      <c r="D9" s="4"/>
      <c r="E9" s="4"/>
      <c r="F9" s="4"/>
      <c r="G9" s="4"/>
      <c r="H9" s="4"/>
      <c r="I9" s="4"/>
      <c r="J9" s="4"/>
      <c r="K9" s="18"/>
    </row>
    <row r="10" spans="1:25" x14ac:dyDescent="0.25">
      <c r="A10" s="4"/>
      <c r="B10" s="17" t="s">
        <v>86</v>
      </c>
      <c r="C10" s="33" t="s">
        <v>164</v>
      </c>
      <c r="D10" s="4"/>
      <c r="E10" s="4"/>
      <c r="F10" s="4"/>
      <c r="G10" s="4"/>
      <c r="H10" s="4"/>
      <c r="I10" s="4"/>
      <c r="J10" s="4"/>
      <c r="K10" s="18"/>
    </row>
    <row r="11" spans="1:25" x14ac:dyDescent="0.25">
      <c r="A11" s="4"/>
      <c r="B11" s="17"/>
      <c r="C11" s="4"/>
      <c r="D11" s="4"/>
      <c r="E11" s="4"/>
      <c r="F11" s="4"/>
      <c r="G11" s="4"/>
      <c r="H11" s="4"/>
      <c r="I11" s="4"/>
      <c r="J11" s="4"/>
      <c r="K11" s="18"/>
    </row>
    <row r="12" spans="1:25" x14ac:dyDescent="0.25">
      <c r="A12" s="4"/>
      <c r="B12" s="17" t="s">
        <v>87</v>
      </c>
      <c r="C12" s="4"/>
      <c r="D12" s="4"/>
      <c r="E12" s="4"/>
      <c r="F12" s="4"/>
      <c r="G12" s="4"/>
      <c r="H12" s="4"/>
      <c r="I12" s="4"/>
      <c r="J12" s="4"/>
      <c r="K12" s="18"/>
    </row>
    <row r="13" spans="1:25" x14ac:dyDescent="0.25">
      <c r="A13" s="14"/>
      <c r="B13" s="290" t="s">
        <v>165</v>
      </c>
      <c r="C13" s="280"/>
      <c r="D13" s="280"/>
      <c r="E13" s="280"/>
      <c r="F13" s="280"/>
      <c r="G13" s="280"/>
      <c r="H13" s="4"/>
      <c r="I13" s="4"/>
      <c r="J13" s="4"/>
      <c r="K13" s="18"/>
    </row>
    <row r="14" spans="1:25" x14ac:dyDescent="0.25">
      <c r="A14" s="61"/>
      <c r="B14" s="291" t="s">
        <v>166</v>
      </c>
      <c r="C14" s="280"/>
      <c r="D14" s="280"/>
      <c r="E14" s="280"/>
      <c r="F14" s="280"/>
      <c r="G14" s="280"/>
      <c r="H14" s="4"/>
      <c r="I14" s="4"/>
      <c r="J14" s="4"/>
      <c r="K14" s="18"/>
    </row>
    <row r="15" spans="1:25" ht="49.5" customHeight="1" x14ac:dyDescent="0.25">
      <c r="A15" s="61"/>
      <c r="B15" s="292"/>
      <c r="C15" s="280"/>
      <c r="D15" s="280"/>
      <c r="E15" s="280"/>
      <c r="F15" s="280"/>
      <c r="G15" s="280"/>
      <c r="H15" s="4"/>
      <c r="I15" s="4"/>
      <c r="J15" s="4"/>
      <c r="K15" s="18"/>
    </row>
    <row r="16" spans="1:25" x14ac:dyDescent="0.25">
      <c r="A16" s="4"/>
      <c r="B16" s="17" t="s">
        <v>88</v>
      </c>
      <c r="C16" s="4"/>
      <c r="D16" s="4"/>
      <c r="E16" s="4"/>
      <c r="F16" s="4"/>
      <c r="G16" s="4"/>
      <c r="H16" s="4"/>
      <c r="I16" s="4"/>
      <c r="J16" s="4"/>
      <c r="K16" s="18"/>
      <c r="P16" s="60" t="s">
        <v>167</v>
      </c>
    </row>
    <row r="17" spans="1:18" ht="15.75" thickBot="1" x14ac:dyDescent="0.3">
      <c r="A17" s="4"/>
      <c r="B17" s="21"/>
      <c r="C17" s="22"/>
      <c r="D17" s="22"/>
      <c r="E17" s="22"/>
      <c r="F17" s="22"/>
      <c r="G17" s="22"/>
      <c r="H17" s="22"/>
      <c r="I17" s="22"/>
      <c r="J17" s="22"/>
      <c r="K17" s="20"/>
      <c r="P17" s="60">
        <v>2350.87</v>
      </c>
      <c r="Q17" s="60">
        <v>163</v>
      </c>
      <c r="R17" s="60">
        <f>P17*Q17</f>
        <v>383191.81</v>
      </c>
    </row>
    <row r="18" spans="1:18" ht="15.75" thickBot="1" x14ac:dyDescent="0.3">
      <c r="A18" s="29"/>
      <c r="B18" s="293" t="s">
        <v>89</v>
      </c>
      <c r="C18" s="294"/>
      <c r="D18" s="294"/>
      <c r="E18" s="295"/>
      <c r="F18" s="293" t="s">
        <v>90</v>
      </c>
      <c r="G18" s="223"/>
      <c r="H18" s="293" t="s">
        <v>130</v>
      </c>
      <c r="I18" s="223"/>
      <c r="J18" s="293" t="s">
        <v>91</v>
      </c>
      <c r="K18" s="223"/>
      <c r="O18" s="60" t="s">
        <v>168</v>
      </c>
      <c r="P18" s="60">
        <v>101</v>
      </c>
      <c r="Q18" s="60">
        <v>15</v>
      </c>
      <c r="R18" s="110">
        <f>P18*Q18</f>
        <v>1515</v>
      </c>
    </row>
    <row r="19" spans="1:18" s="59" customFormat="1" ht="18" customHeight="1" thickBot="1" x14ac:dyDescent="0.3">
      <c r="A19" s="58"/>
      <c r="B19" s="311" t="s">
        <v>135</v>
      </c>
      <c r="C19" s="312"/>
      <c r="D19" s="312"/>
      <c r="E19" s="313"/>
      <c r="F19" s="324">
        <v>156.88</v>
      </c>
      <c r="G19" s="325"/>
      <c r="H19" s="326">
        <v>2452.31</v>
      </c>
      <c r="I19" s="325"/>
      <c r="J19" s="327">
        <f>F19*H19</f>
        <v>384718.39279999997</v>
      </c>
      <c r="K19" s="325"/>
      <c r="N19" s="63"/>
      <c r="R19" s="59">
        <f>R17+R18</f>
        <v>384706.81</v>
      </c>
    </row>
    <row r="20" spans="1:18" ht="15.75" customHeight="1" x14ac:dyDescent="0.25">
      <c r="A20" s="62"/>
      <c r="B20" s="317"/>
      <c r="C20" s="280"/>
      <c r="D20" s="280"/>
      <c r="E20" s="280"/>
      <c r="F20" s="296"/>
      <c r="G20" s="334"/>
      <c r="H20" s="329" t="s">
        <v>134</v>
      </c>
      <c r="I20" s="330"/>
      <c r="J20" s="314">
        <f>(J19)*0.001</f>
        <v>384.7183928</v>
      </c>
      <c r="K20" s="315"/>
    </row>
    <row r="21" spans="1:18" ht="15.75" customHeight="1" thickBot="1" x14ac:dyDescent="0.3">
      <c r="A21" s="14"/>
      <c r="B21" s="328"/>
      <c r="C21" s="301"/>
      <c r="D21" s="301"/>
      <c r="E21" s="301"/>
      <c r="F21" s="22"/>
      <c r="G21" s="35"/>
      <c r="H21" s="332" t="s">
        <v>77</v>
      </c>
      <c r="I21" s="333"/>
      <c r="J21" s="322">
        <f>SUM(J19:K20)</f>
        <v>385103.11119279999</v>
      </c>
      <c r="K21" s="323"/>
      <c r="N21" s="60">
        <v>227.91</v>
      </c>
      <c r="O21" s="110">
        <f>N21*10.76</f>
        <v>2452.3116</v>
      </c>
      <c r="Q21" s="60">
        <f>R19/O21</f>
        <v>156.87517442726283</v>
      </c>
    </row>
    <row r="22" spans="1:18" ht="15.75" customHeight="1" thickBot="1" x14ac:dyDescent="0.3">
      <c r="A22" s="62"/>
      <c r="B22" s="317"/>
      <c r="C22" s="280"/>
      <c r="D22" s="280"/>
      <c r="E22" s="280"/>
      <c r="F22" s="4"/>
      <c r="G22" s="4"/>
      <c r="H22" s="318"/>
      <c r="I22" s="280"/>
      <c r="J22" s="296"/>
      <c r="K22" s="299"/>
    </row>
    <row r="23" spans="1:18" ht="15.75" customHeight="1" thickBot="1" x14ac:dyDescent="0.3">
      <c r="A23" s="29"/>
      <c r="B23" s="319" t="s">
        <v>92</v>
      </c>
      <c r="C23" s="225"/>
      <c r="D23" s="27"/>
      <c r="E23" s="27"/>
      <c r="F23" s="27"/>
      <c r="G23" s="27"/>
      <c r="H23" s="27"/>
      <c r="I23" s="27"/>
      <c r="J23" s="320">
        <f>J21</f>
        <v>385103.11119279999</v>
      </c>
      <c r="K23" s="223"/>
    </row>
    <row r="24" spans="1:18" ht="15.75" customHeight="1" x14ac:dyDescent="0.25">
      <c r="A24" s="4"/>
      <c r="B24" s="17"/>
      <c r="C24" s="4"/>
      <c r="D24" s="4"/>
      <c r="E24" s="4"/>
      <c r="F24" s="4"/>
      <c r="G24" s="4"/>
      <c r="H24" s="4"/>
      <c r="I24" s="4"/>
      <c r="J24" s="4"/>
      <c r="K24" s="18"/>
    </row>
    <row r="25" spans="1:18" ht="15.75" customHeight="1" x14ac:dyDescent="0.25">
      <c r="A25" s="36"/>
      <c r="B25" s="331" t="s">
        <v>93</v>
      </c>
      <c r="C25" s="280"/>
      <c r="D25" s="4"/>
      <c r="E25" s="4"/>
      <c r="F25" s="4"/>
      <c r="G25" s="4"/>
      <c r="H25" s="4"/>
      <c r="I25" s="4"/>
      <c r="J25" s="4"/>
      <c r="K25" s="18"/>
    </row>
    <row r="26" spans="1:18" ht="15.75" customHeight="1" x14ac:dyDescent="0.25">
      <c r="A26" s="4"/>
      <c r="B26" s="17" t="s">
        <v>94</v>
      </c>
      <c r="C26" s="4"/>
      <c r="D26" s="1" t="s">
        <v>150</v>
      </c>
      <c r="E26" s="1"/>
      <c r="F26" s="1"/>
      <c r="G26" s="1"/>
      <c r="H26" s="4"/>
      <c r="I26" s="4"/>
      <c r="J26" s="4"/>
      <c r="K26" s="18"/>
    </row>
    <row r="27" spans="1:18" ht="15.75" customHeight="1" x14ac:dyDescent="0.25">
      <c r="A27" s="4"/>
      <c r="B27" s="17" t="s">
        <v>131</v>
      </c>
      <c r="C27" s="4"/>
      <c r="D27" s="321"/>
      <c r="E27" s="321"/>
      <c r="F27" s="321"/>
      <c r="G27" s="4"/>
      <c r="H27" s="4"/>
      <c r="I27" s="4"/>
      <c r="J27" s="4"/>
      <c r="K27" s="18"/>
    </row>
    <row r="28" spans="1:18" ht="15.75" customHeight="1" x14ac:dyDescent="0.25">
      <c r="A28" s="4"/>
      <c r="B28" s="17" t="s">
        <v>95</v>
      </c>
      <c r="C28" s="4"/>
      <c r="D28" s="4"/>
      <c r="E28" s="4"/>
      <c r="F28" s="4"/>
      <c r="G28" s="4"/>
      <c r="H28" s="4"/>
      <c r="I28" s="4"/>
      <c r="J28" s="4"/>
      <c r="K28" s="18"/>
    </row>
    <row r="29" spans="1:18" ht="15.75" customHeight="1" x14ac:dyDescent="0.25">
      <c r="A29" s="4"/>
      <c r="B29" s="17" t="s">
        <v>96</v>
      </c>
      <c r="C29" s="4"/>
      <c r="D29" s="4" t="s">
        <v>110</v>
      </c>
      <c r="E29" s="4"/>
      <c r="F29" s="4"/>
      <c r="G29" s="4"/>
      <c r="H29" s="4"/>
      <c r="I29" s="4"/>
      <c r="J29" s="4"/>
      <c r="K29" s="18"/>
    </row>
    <row r="30" spans="1:18" ht="15.75" customHeight="1" x14ac:dyDescent="0.25">
      <c r="A30" s="4"/>
      <c r="B30" s="17" t="s">
        <v>97</v>
      </c>
      <c r="C30" s="4"/>
      <c r="D30" s="4"/>
      <c r="E30" s="4"/>
      <c r="F30" s="4"/>
      <c r="G30" s="4"/>
      <c r="H30" s="4"/>
      <c r="I30" s="4"/>
      <c r="J30" s="4"/>
      <c r="K30" s="18"/>
    </row>
    <row r="31" spans="1:18" ht="15.75" customHeight="1" x14ac:dyDescent="0.25">
      <c r="A31" s="4"/>
      <c r="B31" s="17" t="s">
        <v>98</v>
      </c>
      <c r="C31" s="4"/>
      <c r="D31" s="4"/>
      <c r="E31" s="4"/>
      <c r="F31" s="4"/>
      <c r="G31" s="4"/>
      <c r="H31" s="4"/>
      <c r="I31" s="4"/>
      <c r="J31" s="4"/>
      <c r="K31" s="18"/>
    </row>
    <row r="32" spans="1:18" ht="15.75" customHeight="1" x14ac:dyDescent="0.25">
      <c r="A32" s="4"/>
      <c r="B32" s="17" t="s">
        <v>99</v>
      </c>
      <c r="C32" s="4"/>
      <c r="D32" s="1" t="s">
        <v>105</v>
      </c>
      <c r="E32" s="4"/>
      <c r="F32" s="4"/>
      <c r="G32" s="4"/>
      <c r="H32" s="4"/>
      <c r="I32" s="4"/>
      <c r="J32" s="4"/>
      <c r="K32" s="18"/>
    </row>
    <row r="33" spans="1:11" ht="15.75" customHeight="1" x14ac:dyDescent="0.25">
      <c r="A33" s="4"/>
      <c r="B33" s="17"/>
      <c r="C33" s="4"/>
      <c r="D33" s="1" t="s">
        <v>123</v>
      </c>
      <c r="E33" s="4"/>
      <c r="F33" s="4"/>
      <c r="G33" s="4"/>
      <c r="H33" s="4"/>
      <c r="I33" s="4"/>
      <c r="J33" s="4"/>
      <c r="K33" s="18"/>
    </row>
    <row r="34" spans="1:11" ht="15.75" customHeight="1" x14ac:dyDescent="0.25">
      <c r="A34" s="4"/>
      <c r="B34" s="17"/>
      <c r="C34" s="4"/>
      <c r="D34" s="1" t="s">
        <v>126</v>
      </c>
      <c r="E34" s="1"/>
      <c r="F34" s="4"/>
      <c r="G34" s="4"/>
      <c r="H34" s="4"/>
      <c r="I34" s="4"/>
      <c r="J34" s="4"/>
      <c r="K34" s="18"/>
    </row>
    <row r="35" spans="1:11" ht="15.75" customHeight="1" x14ac:dyDescent="0.25">
      <c r="A35" s="37"/>
      <c r="B35" s="316" t="s">
        <v>127</v>
      </c>
      <c r="C35" s="280"/>
      <c r="D35" s="280"/>
      <c r="E35" s="280"/>
      <c r="F35" s="280"/>
      <c r="G35" s="280"/>
      <c r="H35" s="4"/>
      <c r="I35" s="4"/>
      <c r="J35" s="4"/>
      <c r="K35" s="18"/>
    </row>
    <row r="36" spans="1:11" ht="15.75" customHeight="1" x14ac:dyDescent="0.25">
      <c r="A36" s="37"/>
      <c r="B36" s="316" t="s">
        <v>128</v>
      </c>
      <c r="C36" s="280"/>
      <c r="D36" s="280"/>
      <c r="E36" s="280"/>
      <c r="F36" s="280"/>
      <c r="G36" s="280"/>
      <c r="H36" s="4"/>
      <c r="I36" s="4"/>
      <c r="J36" s="4"/>
      <c r="K36" s="18"/>
    </row>
    <row r="37" spans="1:11" ht="15.75" customHeight="1" x14ac:dyDescent="0.25">
      <c r="A37" s="26"/>
      <c r="B37" s="25" t="s">
        <v>100</v>
      </c>
      <c r="C37" s="38" t="str">
        <f>'input data'!B6</f>
        <v>AD240725023182F</v>
      </c>
      <c r="D37" s="26"/>
      <c r="E37" s="26"/>
      <c r="F37" s="26"/>
      <c r="G37" s="26"/>
      <c r="H37" s="4"/>
      <c r="I37" s="4"/>
      <c r="J37" s="4"/>
      <c r="K37" s="18"/>
    </row>
    <row r="38" spans="1:11" ht="15.75" customHeight="1" x14ac:dyDescent="0.25">
      <c r="A38" s="4"/>
      <c r="B38" s="24" t="s">
        <v>106</v>
      </c>
      <c r="C38" s="4"/>
      <c r="D38" s="4"/>
      <c r="E38" s="4"/>
      <c r="F38" s="4"/>
      <c r="G38" s="4"/>
      <c r="H38" s="4"/>
      <c r="I38" s="4"/>
      <c r="J38" s="4"/>
      <c r="K38" s="18"/>
    </row>
    <row r="39" spans="1:11" ht="15.75" customHeight="1" x14ac:dyDescent="0.25">
      <c r="A39" s="4"/>
      <c r="B39" s="17"/>
      <c r="C39" s="4"/>
      <c r="D39" s="4"/>
      <c r="E39" s="4"/>
      <c r="F39" s="4"/>
      <c r="G39" s="4"/>
      <c r="H39" s="4"/>
      <c r="I39" s="4"/>
      <c r="J39" s="4"/>
      <c r="K39" s="18"/>
    </row>
    <row r="40" spans="1:11" ht="15.75" customHeight="1" x14ac:dyDescent="0.25">
      <c r="A40" s="4"/>
      <c r="B40" s="17"/>
      <c r="C40" s="4"/>
      <c r="D40" s="4"/>
      <c r="E40" s="4"/>
      <c r="F40" s="4"/>
      <c r="G40" s="4"/>
      <c r="H40" s="4"/>
      <c r="I40" s="4"/>
      <c r="J40" s="4"/>
      <c r="K40" s="18"/>
    </row>
    <row r="41" spans="1:11" ht="15.75" customHeight="1" thickBot="1" x14ac:dyDescent="0.3">
      <c r="A41" s="4"/>
      <c r="B41" s="21"/>
      <c r="C41" s="22"/>
      <c r="D41" s="22"/>
      <c r="E41" s="22"/>
      <c r="F41" s="22"/>
      <c r="G41" s="22"/>
      <c r="H41" s="22"/>
      <c r="I41" s="22"/>
      <c r="J41" s="22"/>
      <c r="K41" s="20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D27:F27"/>
    <mergeCell ref="B35:G35"/>
    <mergeCell ref="B36:G36"/>
    <mergeCell ref="B22:E22"/>
    <mergeCell ref="H22:I22"/>
    <mergeCell ref="J22:K22"/>
    <mergeCell ref="B23:C23"/>
    <mergeCell ref="J23:K23"/>
    <mergeCell ref="B25:C25"/>
    <mergeCell ref="B20:E20"/>
    <mergeCell ref="F20:G20"/>
    <mergeCell ref="H20:I20"/>
    <mergeCell ref="J20:K20"/>
    <mergeCell ref="B21:E21"/>
    <mergeCell ref="H21:I21"/>
    <mergeCell ref="J21:K21"/>
    <mergeCell ref="B19:E19"/>
    <mergeCell ref="F19:G19"/>
    <mergeCell ref="H19:I19"/>
    <mergeCell ref="J19:K19"/>
    <mergeCell ref="B7:K7"/>
    <mergeCell ref="B13:G13"/>
    <mergeCell ref="B14:G15"/>
    <mergeCell ref="B18:E18"/>
    <mergeCell ref="F18:G18"/>
    <mergeCell ref="H18:I18"/>
    <mergeCell ref="J18:K18"/>
    <mergeCell ref="B5:K5"/>
    <mergeCell ref="B1:K2"/>
    <mergeCell ref="R1:V1"/>
    <mergeCell ref="W1:Y1"/>
    <mergeCell ref="B3:K3"/>
    <mergeCell ref="B4:K4"/>
  </mergeCells>
  <pageMargins left="0.7" right="0.7" top="0.75" bottom="0.75" header="0.3" footer="0.3"/>
  <pageSetup scale="8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company data</vt:lpstr>
      <vt:lpstr>input data</vt:lpstr>
      <vt:lpstr>Invoice rockstone</vt:lpstr>
      <vt:lpstr>Peacking List</vt:lpstr>
      <vt:lpstr>PO</vt:lpstr>
      <vt:lpstr>Sheet2</vt:lpstr>
      <vt:lpstr>PO!Print_Area</vt:lpstr>
      <vt:lpstr>Sheet2!Print_Area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2025-12-17T13:18:26Z</cp:lastPrinted>
  <dcterms:created xsi:type="dcterms:W3CDTF">2022-11-23T06:47:43Z</dcterms:created>
  <dcterms:modified xsi:type="dcterms:W3CDTF">2025-12-18T04:33:41Z</dcterms:modified>
</cp:coreProperties>
</file>