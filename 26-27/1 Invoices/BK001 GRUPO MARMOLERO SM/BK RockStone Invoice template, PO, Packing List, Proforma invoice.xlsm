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K ROCKSTONE PVT LTD\BK Rockstone Invoices\26-27\1 Invoices\BK001 GRUPO MARMOLERO SM\"/>
    </mc:Choice>
  </mc:AlternateContent>
  <bookViews>
    <workbookView xWindow="0" yWindow="0" windowWidth="20490" windowHeight="7755" activeTab="2"/>
  </bookViews>
  <sheets>
    <sheet name="company data" sheetId="1" r:id="rId1"/>
    <sheet name="input data" sheetId="2" r:id="rId2"/>
    <sheet name="Invoice rockstone" sheetId="6" r:id="rId3"/>
    <sheet name="Peacking List" sheetId="4" r:id="rId4"/>
    <sheet name="PO" sheetId="5" r:id="rId5"/>
    <sheet name="PO (2)" sheetId="9" r:id="rId6"/>
  </sheets>
  <functionGroups builtInGroupCount="18"/>
  <definedNames>
    <definedName name="_xlnm.Print_Area" localSheetId="4">PO!$A$1:$K$45</definedName>
    <definedName name="_xlnm.Print_Area" localSheetId="5">'PO (2)'!$A$1:$K$42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35" i="6" l="1"/>
  <c r="I29" i="6"/>
  <c r="I28" i="6"/>
  <c r="J19" i="9" l="1"/>
  <c r="Q20" i="9"/>
  <c r="Q16" i="9"/>
  <c r="Q18" i="9" s="1"/>
  <c r="P24" i="9"/>
  <c r="C37" i="9"/>
  <c r="D28" i="4" l="1"/>
  <c r="D29" i="4"/>
  <c r="D30" i="4"/>
  <c r="G29" i="4" l="1"/>
  <c r="G30" i="4"/>
  <c r="G31" i="4"/>
  <c r="D31" i="4"/>
  <c r="C31" i="4"/>
  <c r="C29" i="4"/>
  <c r="C30" i="4"/>
  <c r="G28" i="4"/>
  <c r="C28" i="4"/>
  <c r="A29" i="4"/>
  <c r="A30" i="4"/>
  <c r="A31" i="4"/>
  <c r="A28" i="4"/>
  <c r="G17" i="4"/>
  <c r="I3" i="4"/>
  <c r="E12" i="6" l="1"/>
  <c r="H4" i="6"/>
  <c r="J19" i="5" l="1"/>
  <c r="J24" i="5"/>
  <c r="J23" i="5"/>
  <c r="J22" i="5"/>
  <c r="F22" i="5"/>
  <c r="E22" i="5"/>
  <c r="J20" i="5"/>
  <c r="J21" i="5"/>
  <c r="B6" i="2" l="1"/>
  <c r="T33" i="5" l="1"/>
  <c r="V33" i="5" s="1"/>
  <c r="S33" i="5"/>
  <c r="R34" i="5"/>
  <c r="R33" i="5"/>
  <c r="R32" i="5"/>
  <c r="R28" i="5" l="1"/>
  <c r="Q25" i="5" l="1"/>
  <c r="Q23" i="5"/>
  <c r="Q24" i="5"/>
  <c r="Q19" i="5"/>
  <c r="Q26" i="5" l="1"/>
  <c r="S32" i="5" s="1"/>
  <c r="T32" i="5" l="1"/>
  <c r="S34" i="5"/>
  <c r="T34" i="5" s="1"/>
  <c r="V34" i="5" s="1"/>
  <c r="S26" i="5"/>
  <c r="H10" i="6"/>
  <c r="G12" i="4" l="1"/>
  <c r="E15" i="6"/>
  <c r="E6" i="6" l="1"/>
  <c r="A19" i="4" l="1"/>
  <c r="A12" i="4"/>
  <c r="G19" i="4"/>
  <c r="I15" i="4"/>
  <c r="D19" i="4"/>
  <c r="D17" i="4"/>
  <c r="D15" i="4"/>
  <c r="A15" i="6"/>
  <c r="B24" i="4" l="1"/>
  <c r="B23" i="4"/>
  <c r="I24" i="4"/>
  <c r="D24" i="4"/>
  <c r="B28" i="6"/>
  <c r="D23" i="4" s="1"/>
  <c r="I23" i="4" l="1"/>
  <c r="I25" i="4" s="1"/>
  <c r="A31" i="6"/>
  <c r="H25" i="6"/>
  <c r="E25" i="6"/>
  <c r="C25" i="6"/>
  <c r="H22" i="6"/>
  <c r="C22" i="6"/>
  <c r="H12" i="6"/>
  <c r="E10" i="6"/>
  <c r="H6" i="6" l="1"/>
  <c r="A36" i="6"/>
  <c r="Q27" i="5" l="1"/>
  <c r="Q28" i="5" l="1"/>
  <c r="S28" i="5" s="1"/>
  <c r="U28" i="5" s="1"/>
  <c r="S27" i="5"/>
  <c r="U27" i="5" s="1"/>
  <c r="B3" i="2"/>
  <c r="E4" i="6" l="1"/>
  <c r="G3" i="4"/>
  <c r="G5" i="4"/>
  <c r="C40" i="5"/>
  <c r="C32" i="4"/>
  <c r="J26" i="5" l="1"/>
  <c r="J20" i="9"/>
  <c r="J21" i="9" s="1"/>
  <c r="J23" i="9" s="1"/>
</calcChain>
</file>

<file path=xl/sharedStrings.xml><?xml version="1.0" encoding="utf-8"?>
<sst xmlns="http://schemas.openxmlformats.org/spreadsheetml/2006/main" count="270" uniqueCount="188">
  <si>
    <t>financial year</t>
  </si>
  <si>
    <t>Kind of packing</t>
  </si>
  <si>
    <t>type of container</t>
  </si>
  <si>
    <t>terms of delivery</t>
  </si>
  <si>
    <t>terms of payment</t>
  </si>
  <si>
    <t>FCL</t>
  </si>
  <si>
    <t>FOB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</si>
  <si>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</si>
  <si>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</si>
  <si>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</si>
  <si>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</si>
  <si>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</si>
  <si>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</si>
  <si>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</si>
  <si>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</si>
  <si>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</si>
  <si>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</si>
  <si>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</si>
  <si>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</si>
  <si>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</si>
  <si>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</si>
  <si>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</si>
  <si>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</si>
  <si>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</si>
  <si>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</si>
  <si>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</si>
  <si>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</si>
  <si>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</si>
  <si>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</si>
  <si>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</si>
  <si>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</si>
  <si>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</si>
  <si>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Rate  Per</t>
  </si>
  <si>
    <t xml:space="preserve">INVOICE </t>
  </si>
  <si>
    <t xml:space="preserve">EXPORTER </t>
  </si>
  <si>
    <t>INVOICE NO.</t>
  </si>
  <si>
    <t>DATE</t>
  </si>
  <si>
    <t>LUT/ARN NO.</t>
  </si>
  <si>
    <t>PAN NO. /IEC CODE</t>
  </si>
  <si>
    <t>GSTIN</t>
  </si>
  <si>
    <t xml:space="preserve">KIND OF PACKING </t>
  </si>
  <si>
    <t>TYPE OF CONTAINER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</si>
  <si>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</si>
  <si>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</si>
  <si>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</si>
  <si>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</si>
  <si>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</si>
  <si>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</si>
  <si>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</si>
  <si>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</si>
  <si>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</si>
  <si>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</si>
  <si>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</si>
  <si>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</si>
  <si>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</si>
  <si>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</si>
  <si>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</si>
  <si>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</si>
  <si>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Amount in Words:</t>
  </si>
  <si>
    <t>Declaration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</si>
  <si>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</si>
  <si>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*  Thickness Variation will be -/+1mm.
</t>
  </si>
  <si>
    <t xml:space="preserve">Authorised Signatory </t>
  </si>
  <si>
    <t>PACKING LIST</t>
  </si>
  <si>
    <t>EXPORTER</t>
  </si>
  <si>
    <t>OTHER REFERENCE(S)</t>
  </si>
  <si>
    <t>Country of Origin of Goods</t>
  </si>
  <si>
    <t>Country of Final Destination</t>
  </si>
  <si>
    <t xml:space="preserve">Pre-Carriage by </t>
  </si>
  <si>
    <t>Place of Receipt by Pre-carrier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</si>
  <si>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</si>
  <si>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</si>
  <si>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</si>
  <si>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</si>
  <si>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</si>
  <si>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</si>
  <si>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 xml:space="preserve">PACKING TYPE : </t>
  </si>
  <si>
    <t xml:space="preserve">DECLARATION </t>
  </si>
  <si>
    <t>*   Zero rated export under LUT.</t>
  </si>
  <si>
    <t xml:space="preserve">Authorised Signature </t>
  </si>
  <si>
    <t>DATE:</t>
  </si>
  <si>
    <t>REF. NO.</t>
  </si>
  <si>
    <t>TO,</t>
  </si>
  <si>
    <t>Dear Sir/ Madam,</t>
  </si>
  <si>
    <t>Description</t>
  </si>
  <si>
    <t>AMOUNT</t>
  </si>
  <si>
    <t>GRAND TOTAL</t>
  </si>
  <si>
    <t xml:space="preserve">OTHER DETAILS </t>
  </si>
  <si>
    <t>Packing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</si>
  <si>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</si>
  <si>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</si>
  <si>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</si>
  <si>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</si>
  <si>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t xml:space="preserve">LUT NO: </t>
  </si>
  <si>
    <t>LC at Sight</t>
  </si>
  <si>
    <t>24AANCB5070H1ZO</t>
  </si>
  <si>
    <t>AANCB5070H</t>
  </si>
  <si>
    <t>BK ROCKSTONE PRIVATE LIMITED</t>
  </si>
  <si>
    <t>For BK ROCKSTONE PRIVATE LIMITED</t>
  </si>
  <si>
    <t>Director</t>
  </si>
  <si>
    <t>PROFORMA INVOICE</t>
  </si>
  <si>
    <t>IE CODE  : AANCB5070H</t>
  </si>
  <si>
    <t>CHENNAI</t>
  </si>
  <si>
    <t>TOTAL SLABS</t>
  </si>
  <si>
    <t>Quantity 1</t>
  </si>
  <si>
    <t>Poduct Name 1</t>
  </si>
  <si>
    <t xml:space="preserve"> Container No.</t>
  </si>
  <si>
    <t>Rate  quantity 1</t>
  </si>
  <si>
    <t>Poduct Name 2</t>
  </si>
  <si>
    <t>Quantity 2</t>
  </si>
  <si>
    <t>Rate  quantity 2</t>
  </si>
  <si>
    <t>Poduct Name 3</t>
  </si>
  <si>
    <t>Quantity 3</t>
  </si>
  <si>
    <t>Rate  quantity 3</t>
  </si>
  <si>
    <t>Proforma Invoice</t>
  </si>
  <si>
    <t xml:space="preserve">90/3, NR. BRAMBHANI ICE FACTORY, NR. RADHIKA SOCIETY, </t>
  </si>
  <si>
    <t xml:space="preserve"> JASHODANAGAR CANAL ROAD, CTM CHAR RASTA, AHMEDABAD, AHMEDABAD, GUJARAT, 380026.</t>
  </si>
  <si>
    <t>info@bkrockstone.com, www.bkrockstone.com , +91-9313035076, +91-926580144</t>
  </si>
  <si>
    <t>JASHODANAGAR CANAL ROAD, CTM CHAR RASTA, GUJARAT, 380026.</t>
  </si>
  <si>
    <t>IEC NO.    AANCB5070H</t>
  </si>
  <si>
    <t>GSTIN NO.  24AANCB5070H1ZO</t>
  </si>
  <si>
    <t>PAN NO. : AANCB5070H</t>
  </si>
  <si>
    <t>SQ FOOT</t>
  </si>
  <si>
    <t>PURCHASE ORDER</t>
  </si>
  <si>
    <t>GST 0.1%</t>
  </si>
  <si>
    <t>Polished Granite Slabs</t>
  </si>
  <si>
    <t xml:space="preserve">30 % Advance, Remaning Against Document within 7 </t>
  </si>
  <si>
    <t>30% Advance and Remaining Against BL within 7 days</t>
  </si>
  <si>
    <t>Wooden Crate Packing</t>
  </si>
  <si>
    <t>ACCOUNT NAME :  BK ROCKSTONE PVT LTD</t>
  </si>
  <si>
    <t>Bank Details</t>
  </si>
  <si>
    <t xml:space="preserve">90/3, NR. BRAMBHANI ICE FACTORY, NR. RADHIKA SOCIETY,  JASHODANAGAR CANAL ROAD, CTM CHAR RASTA, AHMEDABAD, AHMEDABAD, GUJARAT, 380026.
Email: info@bkrockstone.com
Website: www.bkrockstone.com
GST: 24AANCB5070H1ZO
Contact No: +919537651265, +91926580144
</t>
  </si>
  <si>
    <t>*  We declare that this invoice shows the actual price of the goods described and that all particulars are true and correct.</t>
  </si>
  <si>
    <t>Terms of Delivery</t>
  </si>
  <si>
    <t>WOODEN CRATE PACKING</t>
  </si>
  <si>
    <t>90/3, NR. BRAMBHANI ICE FACTORY, NR. RADHIKA SOCIETY,  JASHODANAGAR CANAL ROAD, CTM CHAR RASTA, AHMEDABAD, AHMEDABAD, GUJARAT, 380026.
Website: www.bkrockstone.com
Email: info@bkrockstone.com
Contact No: +919537651265, +919265280144</t>
  </si>
  <si>
    <t>100 % CAD</t>
  </si>
  <si>
    <t>rtgs</t>
  </si>
  <si>
    <t>total</t>
  </si>
  <si>
    <t>cash</t>
  </si>
  <si>
    <t>extra</t>
  </si>
  <si>
    <t>long</t>
  </si>
  <si>
    <t>U/S</t>
  </si>
  <si>
    <t>B/S</t>
  </si>
  <si>
    <t>already given</t>
  </si>
  <si>
    <t>2nd container</t>
  </si>
  <si>
    <t>container 1</t>
  </si>
  <si>
    <t>container 2</t>
  </si>
  <si>
    <t>RTGS</t>
  </si>
  <si>
    <t xml:space="preserve">Cash </t>
  </si>
  <si>
    <t>Total</t>
  </si>
  <si>
    <t>we paid</t>
  </si>
  <si>
    <t>remaining</t>
  </si>
  <si>
    <t>Cash</t>
  </si>
  <si>
    <t>26-27</t>
  </si>
  <si>
    <t>01</t>
  </si>
  <si>
    <t>BANK NAME : ICICI BANK</t>
  </si>
  <si>
    <t>BRANCH : HERITAGE CHAMBER, AHMEDABAD</t>
  </si>
  <si>
    <t>ACCOUNT NUMBER :  403105000970</t>
  </si>
  <si>
    <t>SWIFT CODE : ICICINBBCTS</t>
  </si>
  <si>
    <t>IFSC CODE :  ICIC0004031</t>
  </si>
  <si>
    <t>MARUDHAR STONES INTERNATIONAL PVT. LTD</t>
  </si>
  <si>
    <t xml:space="preserve"> PO01/26-27</t>
  </si>
  <si>
    <t># 367 - 368, A. SAMANAPALLI MAIN ROAD,
ALUR VILLAGE, SIPCOT 2 EXT 2,  
HOSUR - 635 109, TAMIL NADU, INDIA
GST: 33AAFCM3583Q1ZX</t>
  </si>
  <si>
    <t>SLABS</t>
  </si>
  <si>
    <t>Polised Granite slabs (2CM)</t>
  </si>
  <si>
    <t>PRICE</t>
  </si>
  <si>
    <t>Port of Discharge</t>
  </si>
  <si>
    <t>MANZANILLO</t>
  </si>
  <si>
    <t>MEXICO</t>
  </si>
  <si>
    <t>Gross Weight (KGS)</t>
  </si>
  <si>
    <t>Net Weight (KGS)</t>
  </si>
  <si>
    <t>EITU0049513</t>
  </si>
  <si>
    <t>PI2702/25-26</t>
  </si>
  <si>
    <t>GRUPO MARMOLERO SM S. DE R.L. DE C.V.
Add: ALVARO OBREGON 43, 
STA.MA.TEQUEPEXPAN, TLAQUEPAQUE, MEXICO - 
45601
RFC:  GMS170908L86</t>
  </si>
  <si>
    <t>EMCU6385442</t>
  </si>
  <si>
    <t xml:space="preserve">EISU2298907 </t>
  </si>
  <si>
    <t>QUANTITY  : 4 X 20 FT CONTAINER</t>
  </si>
  <si>
    <t>30% Advance and Remaining Against BL within 7 Days</t>
  </si>
  <si>
    <t>TCLU3336208</t>
  </si>
  <si>
    <t xml:space="preserve"> PO01.1/26-27</t>
  </si>
  <si>
    <t>SHREE GANAPATHI GRANIMARMO</t>
  </si>
  <si>
    <t>SF NO-41/2A,KONDAPANAYANPALLI
ACHMANGALAM ROAD,
BARGUR,KRISHNAGIRI-635104.
GST: 33AFKPK8516J1Z8</t>
  </si>
  <si>
    <t>buyer</t>
  </si>
  <si>
    <t>sq foot</t>
  </si>
  <si>
    <t>supplier</t>
  </si>
  <si>
    <t>loading</t>
  </si>
  <si>
    <t>Cut To Size Polished Slabs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</si>
</sst>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#,##0.000"/>
  </numFmts>
  <fonts count="2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</font>
    <font>
      <b/>
      <sz val="11"/>
      <color theme="1"/>
      <name val="Calibri"/>
      <family val="2"/>
      <scheme val="minor"/>
    </font>
    <font>
      <sz val="9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358">
    <xf numFmtId="0" fontId="0" fillId="0" borderId="0" xfId="0" applyFont="1" applyAlignment="1"/>
    <xf numFmtId="0" fontId="7" fillId="0" borderId="0" xfId="0" applyFont="1"/>
    <xf numFmtId="0" fontId="8" fillId="0" borderId="0" xfId="0" applyFont="1"/>
    <xf numFmtId="0" fontId="9" fillId="0" borderId="0" xfId="0" applyFont="1" applyAlignment="1">
      <alignment horizontal="left"/>
    </xf>
    <xf numFmtId="0" fontId="9" fillId="0" borderId="0" xfId="0" applyFont="1"/>
    <xf numFmtId="49" fontId="9" fillId="0" borderId="0" xfId="0" applyNumberFormat="1" applyFont="1" applyAlignment="1">
      <alignment horizontal="left"/>
    </xf>
    <xf numFmtId="164" fontId="9" fillId="0" borderId="0" xfId="0" applyNumberFormat="1" applyFont="1" applyAlignment="1">
      <alignment horizontal="left"/>
    </xf>
    <xf numFmtId="165" fontId="9" fillId="0" borderId="0" xfId="0" applyNumberFormat="1" applyFont="1" applyAlignment="1">
      <alignment horizontal="left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wrapText="1"/>
    </xf>
    <xf numFmtId="165" fontId="9" fillId="0" borderId="0" xfId="0" applyNumberFormat="1" applyFont="1"/>
    <xf numFmtId="0" fontId="7" fillId="0" borderId="0" xfId="0" applyFont="1" applyAlignment="1">
      <alignment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horizontal="left"/>
    </xf>
    <xf numFmtId="0" fontId="9" fillId="0" borderId="3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6" xfId="0" applyFont="1" applyBorder="1"/>
    <xf numFmtId="0" fontId="7" fillId="0" borderId="12" xfId="0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/>
    <xf numFmtId="0" fontId="9" fillId="0" borderId="1" xfId="0" applyFont="1" applyBorder="1"/>
    <xf numFmtId="0" fontId="9" fillId="0" borderId="2" xfId="0" applyFont="1" applyBorder="1"/>
    <xf numFmtId="0" fontId="7" fillId="0" borderId="5" xfId="0" applyFont="1" applyBorder="1"/>
    <xf numFmtId="0" fontId="18" fillId="0" borderId="5" xfId="0" applyFont="1" applyBorder="1"/>
    <xf numFmtId="0" fontId="18" fillId="0" borderId="0" xfId="0" applyFont="1"/>
    <xf numFmtId="0" fontId="9" fillId="0" borderId="10" xfId="0" applyFont="1" applyBorder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9" fillId="0" borderId="0" xfId="0" applyFont="1" applyAlignment="1"/>
    <xf numFmtId="0" fontId="9" fillId="0" borderId="0" xfId="0" applyFont="1" applyAlignment="1">
      <alignment horizontal="left" vertical="top" wrapText="1"/>
    </xf>
    <xf numFmtId="0" fontId="21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165" fontId="18" fillId="0" borderId="0" xfId="0" applyNumberFormat="1" applyFont="1"/>
    <xf numFmtId="0" fontId="0" fillId="0" borderId="0" xfId="0" applyFont="1" applyAlignment="1"/>
    <xf numFmtId="167" fontId="9" fillId="0" borderId="0" xfId="0" applyNumberFormat="1" applyFont="1" applyAlignment="1">
      <alignment horizontal="left"/>
    </xf>
    <xf numFmtId="0" fontId="6" fillId="0" borderId="0" xfId="0" applyFont="1" applyAlignment="1"/>
    <xf numFmtId="0" fontId="9" fillId="0" borderId="14" xfId="0" applyFont="1" applyBorder="1"/>
    <xf numFmtId="0" fontId="9" fillId="0" borderId="17" xfId="0" applyFont="1" applyBorder="1"/>
    <xf numFmtId="0" fontId="9" fillId="0" borderId="15" xfId="0" applyFont="1" applyBorder="1"/>
    <xf numFmtId="0" fontId="0" fillId="0" borderId="0" xfId="0" applyFont="1" applyAlignment="1"/>
    <xf numFmtId="0" fontId="7" fillId="0" borderId="26" xfId="0" applyFont="1" applyBorder="1"/>
    <xf numFmtId="0" fontId="9" fillId="0" borderId="33" xfId="0" applyFont="1" applyBorder="1"/>
    <xf numFmtId="0" fontId="9" fillId="0" borderId="36" xfId="0" applyFont="1" applyBorder="1"/>
    <xf numFmtId="0" fontId="9" fillId="0" borderId="24" xfId="0" applyFont="1" applyBorder="1"/>
    <xf numFmtId="0" fontId="9" fillId="0" borderId="25" xfId="0" applyFont="1" applyBorder="1"/>
    <xf numFmtId="0" fontId="9" fillId="0" borderId="13" xfId="0" applyFont="1" applyBorder="1"/>
    <xf numFmtId="0" fontId="9" fillId="0" borderId="27" xfId="0" applyFont="1" applyBorder="1"/>
    <xf numFmtId="0" fontId="0" fillId="0" borderId="0" xfId="0" applyFont="1" applyAlignment="1"/>
    <xf numFmtId="0" fontId="9" fillId="0" borderId="37" xfId="0" applyFont="1" applyBorder="1"/>
    <xf numFmtId="0" fontId="7" fillId="0" borderId="27" xfId="0" applyFont="1" applyBorder="1" applyAlignment="1"/>
    <xf numFmtId="0" fontId="7" fillId="0" borderId="23" xfId="0" applyFont="1" applyBorder="1"/>
    <xf numFmtId="0" fontId="9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9" fillId="0" borderId="0" xfId="0" applyFont="1" applyAlignment="1">
      <alignment horizontal="left" vertical="top" wrapText="1"/>
    </xf>
    <xf numFmtId="0" fontId="9" fillId="0" borderId="14" xfId="0" applyFont="1" applyBorder="1" applyAlignment="1">
      <alignment horizontal="center"/>
    </xf>
    <xf numFmtId="0" fontId="9" fillId="0" borderId="35" xfId="0" applyFont="1" applyBorder="1"/>
    <xf numFmtId="0" fontId="9" fillId="0" borderId="26" xfId="0" applyFont="1" applyBorder="1"/>
    <xf numFmtId="0" fontId="9" fillId="0" borderId="41" xfId="0" applyFont="1" applyBorder="1" applyAlignment="1">
      <alignment horizontal="center"/>
    </xf>
    <xf numFmtId="0" fontId="9" fillId="0" borderId="42" xfId="0" applyFont="1" applyBorder="1"/>
    <xf numFmtId="0" fontId="5" fillId="0" borderId="0" xfId="0" applyFont="1"/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9" fillId="0" borderId="31" xfId="0" applyFont="1" applyBorder="1"/>
    <xf numFmtId="0" fontId="18" fillId="0" borderId="13" xfId="0" applyFont="1" applyBorder="1"/>
    <xf numFmtId="0" fontId="18" fillId="0" borderId="14" xfId="0" applyFont="1" applyBorder="1"/>
    <xf numFmtId="0" fontId="18" fillId="0" borderId="27" xfId="0" applyFont="1" applyBorder="1"/>
    <xf numFmtId="0" fontId="9" fillId="0" borderId="38" xfId="0" applyFont="1" applyBorder="1"/>
    <xf numFmtId="0" fontId="7" fillId="0" borderId="40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43" xfId="0" applyFont="1" applyBorder="1"/>
    <xf numFmtId="0" fontId="7" fillId="0" borderId="26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7" fillId="0" borderId="27" xfId="0" applyFont="1" applyBorder="1" applyAlignment="1">
      <alignment horizontal="left"/>
    </xf>
    <xf numFmtId="0" fontId="7" fillId="0" borderId="28" xfId="0" applyFont="1" applyBorder="1" applyAlignment="1">
      <alignment horizontal="left"/>
    </xf>
    <xf numFmtId="0" fontId="9" fillId="0" borderId="17" xfId="0" applyFont="1" applyBorder="1" applyAlignment="1">
      <alignment horizontal="left"/>
    </xf>
    <xf numFmtId="0" fontId="9" fillId="0" borderId="29" xfId="0" applyFont="1" applyBorder="1" applyAlignment="1">
      <alignment horizontal="left"/>
    </xf>
    <xf numFmtId="0" fontId="0" fillId="0" borderId="0" xfId="0" applyFont="1" applyAlignment="1"/>
    <xf numFmtId="0" fontId="0" fillId="0" borderId="14" xfId="0" applyFont="1" applyBorder="1" applyAlignment="1"/>
    <xf numFmtId="165" fontId="9" fillId="0" borderId="0" xfId="0" applyNumberFormat="1" applyFont="1" applyAlignment="1">
      <alignment horizontal="left" vertical="top" wrapText="1"/>
    </xf>
    <xf numFmtId="0" fontId="7" fillId="0" borderId="0" xfId="0" applyFont="1" applyAlignment="1">
      <alignment vertical="top"/>
    </xf>
    <xf numFmtId="0" fontId="7" fillId="3" borderId="14" xfId="0" applyFont="1" applyFill="1" applyBorder="1" applyAlignment="1">
      <alignment vertical="top"/>
    </xf>
    <xf numFmtId="0" fontId="7" fillId="3" borderId="27" xfId="0" applyFont="1" applyFill="1" applyBorder="1" applyAlignment="1">
      <alignment vertical="top"/>
    </xf>
    <xf numFmtId="0" fontId="9" fillId="0" borderId="23" xfId="0" applyFont="1" applyBorder="1"/>
    <xf numFmtId="0" fontId="9" fillId="0" borderId="28" xfId="0" applyFont="1" applyBorder="1"/>
    <xf numFmtId="0" fontId="0" fillId="0" borderId="26" xfId="0" applyFont="1" applyBorder="1" applyAlignment="1"/>
    <xf numFmtId="0" fontId="0" fillId="0" borderId="32" xfId="0" applyFont="1" applyBorder="1" applyAlignment="1"/>
    <xf numFmtId="0" fontId="7" fillId="3" borderId="33" xfId="0" applyFont="1" applyFill="1" applyBorder="1" applyAlignment="1">
      <alignment vertical="top"/>
    </xf>
    <xf numFmtId="0" fontId="0" fillId="0" borderId="33" xfId="0" applyFont="1" applyBorder="1" applyAlignment="1"/>
    <xf numFmtId="0" fontId="7" fillId="3" borderId="37" xfId="0" applyFont="1" applyFill="1" applyBorder="1" applyAlignment="1">
      <alignment vertical="top"/>
    </xf>
    <xf numFmtId="1" fontId="0" fillId="0" borderId="0" xfId="0" applyNumberFormat="1" applyFont="1" applyAlignment="1">
      <alignment vertical="top"/>
    </xf>
    <xf numFmtId="2" fontId="0" fillId="0" borderId="0" xfId="0" applyNumberFormat="1" applyFont="1" applyAlignment="1"/>
    <xf numFmtId="0" fontId="9" fillId="0" borderId="43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8" fillId="0" borderId="53" xfId="0" applyFont="1" applyBorder="1" applyAlignment="1"/>
    <xf numFmtId="166" fontId="9" fillId="0" borderId="54" xfId="0" applyNumberFormat="1" applyFont="1" applyBorder="1" applyAlignment="1">
      <alignment horizontal="center"/>
    </xf>
    <xf numFmtId="0" fontId="8" fillId="0" borderId="60" xfId="0" applyFont="1" applyBorder="1" applyAlignment="1"/>
    <xf numFmtId="166" fontId="9" fillId="0" borderId="60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0" xfId="0" applyFont="1"/>
    <xf numFmtId="0" fontId="0" fillId="0" borderId="0" xfId="0" applyFont="1" applyAlignment="1"/>
    <xf numFmtId="0" fontId="0" fillId="0" borderId="0" xfId="0" applyFont="1" applyAlignment="1">
      <alignment vertical="top"/>
    </xf>
    <xf numFmtId="1" fontId="0" fillId="0" borderId="0" xfId="0" applyNumberFormat="1" applyFont="1" applyAlignment="1"/>
    <xf numFmtId="0" fontId="3" fillId="0" borderId="0" xfId="0" applyFont="1" applyAlignment="1"/>
    <xf numFmtId="0" fontId="2" fillId="0" borderId="0" xfId="0" applyFont="1"/>
    <xf numFmtId="0" fontId="0" fillId="0" borderId="0" xfId="0" applyFont="1" applyAlignment="1">
      <alignment vertical="top"/>
    </xf>
    <xf numFmtId="0" fontId="0" fillId="0" borderId="0" xfId="0" applyFont="1" applyAlignment="1"/>
    <xf numFmtId="0" fontId="0" fillId="0" borderId="14" xfId="0" applyFont="1" applyBorder="1" applyAlignment="1"/>
    <xf numFmtId="0" fontId="7" fillId="0" borderId="14" xfId="0" applyFont="1" applyBorder="1" applyAlignment="1">
      <alignment horizontal="left"/>
    </xf>
    <xf numFmtId="0" fontId="0" fillId="0" borderId="0" xfId="0" applyFont="1" applyAlignment="1"/>
    <xf numFmtId="0" fontId="9" fillId="0" borderId="5" xfId="0" applyFont="1" applyBorder="1" applyAlignment="1"/>
    <xf numFmtId="0" fontId="7" fillId="0" borderId="62" xfId="0" applyFont="1" applyBorder="1" applyAlignment="1">
      <alignment horizontal="center" vertical="top"/>
    </xf>
    <xf numFmtId="0" fontId="7" fillId="0" borderId="63" xfId="0" applyFont="1" applyBorder="1" applyAlignment="1">
      <alignment horizontal="center" vertical="top"/>
    </xf>
    <xf numFmtId="0" fontId="7" fillId="0" borderId="61" xfId="0" applyFont="1" applyBorder="1" applyAlignment="1">
      <alignment horizontal="center"/>
    </xf>
    <xf numFmtId="0" fontId="27" fillId="0" borderId="0" xfId="0" applyFont="1" applyAlignment="1"/>
    <xf numFmtId="0" fontId="0" fillId="0" borderId="0" xfId="0" applyFont="1" applyFill="1" applyAlignment="1"/>
    <xf numFmtId="0" fontId="1" fillId="0" borderId="0" xfId="0" applyFont="1" applyAlignment="1"/>
    <xf numFmtId="0" fontId="0" fillId="0" borderId="0" xfId="0" applyFont="1" applyAlignment="1">
      <alignment horizontal="left"/>
    </xf>
    <xf numFmtId="2" fontId="0" fillId="0" borderId="0" xfId="0" applyNumberFormat="1" applyFont="1" applyAlignment="1">
      <alignment horizontal="left"/>
    </xf>
    <xf numFmtId="0" fontId="0" fillId="0" borderId="0" xfId="0" applyFont="1" applyAlignment="1">
      <alignment vertical="top"/>
    </xf>
    <xf numFmtId="0" fontId="0" fillId="0" borderId="0" xfId="0" applyFont="1" applyAlignment="1"/>
    <xf numFmtId="0" fontId="9" fillId="0" borderId="0" xfId="0" applyFont="1" applyAlignment="1">
      <alignment horizontal="center"/>
    </xf>
    <xf numFmtId="0" fontId="0" fillId="4" borderId="0" xfId="0" applyFont="1" applyFill="1" applyAlignment="1"/>
    <xf numFmtId="0" fontId="7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9" fillId="0" borderId="0" xfId="0" applyNumberFormat="1" applyFont="1" applyAlignment="1">
      <alignment horizontal="left" vertical="top" wrapText="1"/>
    </xf>
    <xf numFmtId="0" fontId="0" fillId="0" borderId="0" xfId="0" applyNumberFormat="1" applyFont="1" applyAlignment="1"/>
    <xf numFmtId="0" fontId="7" fillId="0" borderId="36" xfId="0" applyFont="1" applyBorder="1" applyAlignment="1">
      <alignment horizontal="left" vertical="center" wrapText="1"/>
    </xf>
    <xf numFmtId="0" fontId="7" fillId="0" borderId="24" xfId="0" applyFont="1" applyBorder="1" applyAlignment="1">
      <alignment horizontal="left" vertical="center" wrapText="1"/>
    </xf>
    <xf numFmtId="0" fontId="7" fillId="0" borderId="25" xfId="0" applyFont="1" applyBorder="1" applyAlignment="1">
      <alignment horizontal="left" vertical="center" wrapText="1"/>
    </xf>
    <xf numFmtId="0" fontId="11" fillId="0" borderId="13" xfId="0" applyFont="1" applyBorder="1" applyAlignment="1">
      <alignment horizontal="left" vertical="top" wrapText="1"/>
    </xf>
    <xf numFmtId="0" fontId="11" fillId="0" borderId="14" xfId="0" applyFont="1" applyBorder="1" applyAlignment="1">
      <alignment horizontal="left" vertical="top" wrapText="1"/>
    </xf>
    <xf numFmtId="0" fontId="11" fillId="0" borderId="27" xfId="0" applyFont="1" applyBorder="1" applyAlignment="1">
      <alignment horizontal="left" vertical="top" wrapText="1"/>
    </xf>
    <xf numFmtId="0" fontId="11" fillId="0" borderId="16" xfId="0" applyFont="1" applyBorder="1" applyAlignment="1">
      <alignment horizontal="left" vertical="top" wrapText="1"/>
    </xf>
    <xf numFmtId="0" fontId="11" fillId="0" borderId="17" xfId="0" applyFont="1" applyBorder="1" applyAlignment="1">
      <alignment horizontal="left" vertical="top" wrapText="1"/>
    </xf>
    <xf numFmtId="0" fontId="11" fillId="0" borderId="29" xfId="0" applyFont="1" applyBorder="1" applyAlignment="1">
      <alignment horizontal="left" vertical="top" wrapText="1"/>
    </xf>
    <xf numFmtId="0" fontId="12" fillId="0" borderId="26" xfId="0" applyFont="1" applyBorder="1" applyAlignment="1">
      <alignment horizontal="left"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32" xfId="0" applyFont="1" applyBorder="1" applyAlignment="1">
      <alignment horizontal="left" vertical="top" wrapText="1"/>
    </xf>
    <xf numFmtId="0" fontId="12" fillId="0" borderId="33" xfId="0" applyFont="1" applyBorder="1" applyAlignment="1">
      <alignment horizontal="left" vertical="top" wrapText="1"/>
    </xf>
    <xf numFmtId="0" fontId="7" fillId="3" borderId="23" xfId="0" applyFont="1" applyFill="1" applyBorder="1" applyAlignment="1">
      <alignment horizontal="left" vertical="top"/>
    </xf>
    <xf numFmtId="0" fontId="7" fillId="3" borderId="24" xfId="0" applyFont="1" applyFill="1" applyBorder="1" applyAlignment="1">
      <alignment horizontal="left" vertical="top"/>
    </xf>
    <xf numFmtId="0" fontId="7" fillId="3" borderId="25" xfId="0" applyFont="1" applyFill="1" applyBorder="1" applyAlignment="1">
      <alignment horizontal="left" vertical="top"/>
    </xf>
    <xf numFmtId="0" fontId="16" fillId="0" borderId="44" xfId="0" applyFont="1" applyBorder="1" applyAlignment="1">
      <alignment horizontal="left"/>
    </xf>
    <xf numFmtId="0" fontId="16" fillId="0" borderId="45" xfId="0" applyFont="1" applyBorder="1" applyAlignment="1">
      <alignment horizontal="left"/>
    </xf>
    <xf numFmtId="0" fontId="16" fillId="0" borderId="46" xfId="0" applyFont="1" applyBorder="1" applyAlignment="1">
      <alignment horizontal="left"/>
    </xf>
    <xf numFmtId="0" fontId="7" fillId="0" borderId="47" xfId="0" applyFont="1" applyBorder="1" applyAlignment="1">
      <alignment horizontal="left"/>
    </xf>
    <xf numFmtId="0" fontId="7" fillId="0" borderId="45" xfId="0" applyFont="1" applyBorder="1" applyAlignment="1">
      <alignment horizontal="left"/>
    </xf>
    <xf numFmtId="0" fontId="7" fillId="0" borderId="48" xfId="0" applyFont="1" applyBorder="1" applyAlignment="1">
      <alignment horizontal="left"/>
    </xf>
    <xf numFmtId="0" fontId="9" fillId="0" borderId="50" xfId="0" applyFont="1" applyBorder="1" applyAlignment="1">
      <alignment horizontal="left"/>
    </xf>
    <xf numFmtId="0" fontId="11" fillId="0" borderId="51" xfId="0" applyFont="1" applyBorder="1" applyAlignment="1">
      <alignment horizontal="left"/>
    </xf>
    <xf numFmtId="0" fontId="11" fillId="0" borderId="52" xfId="0" applyFont="1" applyBorder="1" applyAlignment="1">
      <alignment horizontal="left"/>
    </xf>
    <xf numFmtId="2" fontId="9" fillId="0" borderId="51" xfId="0" applyNumberFormat="1" applyFont="1" applyBorder="1" applyAlignment="1">
      <alignment horizontal="center"/>
    </xf>
    <xf numFmtId="2" fontId="11" fillId="0" borderId="52" xfId="0" applyNumberFormat="1" applyFont="1" applyBorder="1" applyAlignment="1">
      <alignment horizontal="center"/>
    </xf>
    <xf numFmtId="166" fontId="9" fillId="0" borderId="55" xfId="0" applyNumberFormat="1" applyFont="1" applyBorder="1" applyAlignment="1">
      <alignment horizontal="center"/>
    </xf>
    <xf numFmtId="0" fontId="11" fillId="0" borderId="56" xfId="0" applyFont="1" applyBorder="1"/>
    <xf numFmtId="0" fontId="9" fillId="0" borderId="57" xfId="0" applyFont="1" applyBorder="1" applyAlignment="1">
      <alignment horizontal="left"/>
    </xf>
    <xf numFmtId="0" fontId="11" fillId="0" borderId="58" xfId="0" applyFont="1" applyBorder="1" applyAlignment="1">
      <alignment horizontal="left"/>
    </xf>
    <xf numFmtId="0" fontId="11" fillId="0" borderId="59" xfId="0" applyFont="1" applyBorder="1" applyAlignment="1">
      <alignment horizontal="left"/>
    </xf>
    <xf numFmtId="2" fontId="9" fillId="0" borderId="58" xfId="0" applyNumberFormat="1" applyFont="1" applyBorder="1" applyAlignment="1">
      <alignment horizontal="center"/>
    </xf>
    <xf numFmtId="2" fontId="11" fillId="0" borderId="59" xfId="0" applyNumberFormat="1" applyFont="1" applyBorder="1" applyAlignment="1">
      <alignment horizontal="center"/>
    </xf>
    <xf numFmtId="0" fontId="7" fillId="0" borderId="39" xfId="0" applyFont="1" applyBorder="1" applyAlignment="1">
      <alignment horizontal="center" vertical="center"/>
    </xf>
    <xf numFmtId="0" fontId="11" fillId="0" borderId="40" xfId="0" applyFont="1" applyBorder="1"/>
    <xf numFmtId="0" fontId="7" fillId="0" borderId="2" xfId="0" applyFont="1" applyBorder="1" applyAlignment="1">
      <alignment horizontal="center" vertical="center"/>
    </xf>
    <xf numFmtId="0" fontId="11" fillId="0" borderId="3" xfId="0" applyFont="1" applyBorder="1"/>
    <xf numFmtId="0" fontId="11" fillId="0" borderId="4" xfId="0" applyFont="1" applyBorder="1"/>
    <xf numFmtId="0" fontId="11" fillId="0" borderId="13" xfId="0" applyFont="1" applyBorder="1"/>
    <xf numFmtId="0" fontId="0" fillId="0" borderId="14" xfId="0" applyFont="1" applyBorder="1" applyAlignment="1"/>
    <xf numFmtId="0" fontId="11" fillId="0" borderId="15" xfId="0" applyFont="1" applyBorder="1"/>
    <xf numFmtId="0" fontId="7" fillId="0" borderId="12" xfId="0" applyFont="1" applyBorder="1" applyAlignment="1">
      <alignment horizontal="center" vertical="center"/>
    </xf>
    <xf numFmtId="0" fontId="11" fillId="0" borderId="49" xfId="0" applyFont="1" applyBorder="1"/>
    <xf numFmtId="0" fontId="7" fillId="0" borderId="2" xfId="0" applyFont="1" applyBorder="1" applyAlignment="1">
      <alignment horizontal="center"/>
    </xf>
    <xf numFmtId="0" fontId="9" fillId="0" borderId="23" xfId="0" applyFont="1" applyBorder="1" applyAlignment="1">
      <alignment horizontal="left" wrapText="1"/>
    </xf>
    <xf numFmtId="0" fontId="9" fillId="0" borderId="24" xfId="0" applyFont="1" applyBorder="1" applyAlignment="1">
      <alignment horizontal="left" wrapText="1"/>
    </xf>
    <xf numFmtId="0" fontId="9" fillId="0" borderId="35" xfId="0" applyFont="1" applyBorder="1" applyAlignment="1">
      <alignment horizontal="left" wrapText="1"/>
    </xf>
    <xf numFmtId="0" fontId="9" fillId="0" borderId="26" xfId="0" applyFont="1" applyBorder="1" applyAlignment="1">
      <alignment horizontal="left" wrapText="1"/>
    </xf>
    <xf numFmtId="0" fontId="9" fillId="0" borderId="14" xfId="0" applyFont="1" applyBorder="1" applyAlignment="1">
      <alignment horizontal="left" wrapText="1"/>
    </xf>
    <xf numFmtId="0" fontId="9" fillId="0" borderId="15" xfId="0" applyFont="1" applyBorder="1" applyAlignment="1">
      <alignment horizontal="left" wrapText="1"/>
    </xf>
    <xf numFmtId="0" fontId="17" fillId="0" borderId="26" xfId="0" applyFont="1" applyBorder="1" applyAlignment="1">
      <alignment horizontal="left" vertical="top" wrapText="1"/>
    </xf>
    <xf numFmtId="0" fontId="17" fillId="0" borderId="14" xfId="0" applyFont="1" applyBorder="1" applyAlignment="1">
      <alignment horizontal="left" vertical="top" wrapText="1"/>
    </xf>
    <xf numFmtId="0" fontId="17" fillId="0" borderId="15" xfId="0" applyFont="1" applyBorder="1" applyAlignment="1">
      <alignment horizontal="left" vertical="top" wrapText="1"/>
    </xf>
    <xf numFmtId="0" fontId="17" fillId="0" borderId="32" xfId="0" applyFont="1" applyBorder="1" applyAlignment="1">
      <alignment horizontal="left" vertical="top" wrapText="1"/>
    </xf>
    <xf numFmtId="0" fontId="17" fillId="0" borderId="33" xfId="0" applyFont="1" applyBorder="1" applyAlignment="1">
      <alignment horizontal="left" vertical="top" wrapText="1"/>
    </xf>
    <xf numFmtId="0" fontId="17" fillId="0" borderId="34" xfId="0" applyFont="1" applyBorder="1" applyAlignment="1">
      <alignment horizontal="left" vertical="top" wrapText="1"/>
    </xf>
    <xf numFmtId="0" fontId="9" fillId="0" borderId="26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166" fontId="15" fillId="0" borderId="14" xfId="0" applyNumberFormat="1" applyFont="1" applyBorder="1" applyAlignment="1">
      <alignment horizontal="center" vertical="center"/>
    </xf>
    <xf numFmtId="0" fontId="11" fillId="0" borderId="27" xfId="0" applyFont="1" applyBorder="1"/>
    <xf numFmtId="0" fontId="11" fillId="0" borderId="14" xfId="0" applyFont="1" applyBorder="1"/>
    <xf numFmtId="0" fontId="7" fillId="0" borderId="26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7" fillId="0" borderId="27" xfId="0" applyFont="1" applyBorder="1" applyAlignment="1">
      <alignment horizontal="left"/>
    </xf>
    <xf numFmtId="0" fontId="11" fillId="0" borderId="31" xfId="0" applyFont="1" applyBorder="1"/>
    <xf numFmtId="0" fontId="7" fillId="0" borderId="13" xfId="0" applyFont="1" applyBorder="1" applyAlignment="1">
      <alignment horizontal="center"/>
    </xf>
    <xf numFmtId="0" fontId="14" fillId="0" borderId="13" xfId="0" applyFont="1" applyBorder="1" applyAlignment="1">
      <alignment horizontal="center" vertical="center"/>
    </xf>
    <xf numFmtId="0" fontId="11" fillId="0" borderId="16" xfId="0" applyFont="1" applyBorder="1"/>
    <xf numFmtId="0" fontId="11" fillId="0" borderId="17" xfId="0" applyFont="1" applyBorder="1"/>
    <xf numFmtId="0" fontId="11" fillId="0" borderId="29" xfId="0" applyFont="1" applyBorder="1"/>
    <xf numFmtId="0" fontId="7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11" fillId="0" borderId="18" xfId="0" applyFont="1" applyBorder="1"/>
    <xf numFmtId="0" fontId="7" fillId="0" borderId="16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11" fillId="0" borderId="24" xfId="0" applyFont="1" applyBorder="1"/>
    <xf numFmtId="0" fontId="11" fillId="0" borderId="25" xfId="0" applyFont="1" applyBorder="1"/>
    <xf numFmtId="0" fontId="7" fillId="0" borderId="24" xfId="0" applyFont="1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9" fillId="0" borderId="26" xfId="0" applyFont="1" applyBorder="1" applyAlignment="1">
      <alignment horizontal="left" vertical="top" wrapText="1"/>
    </xf>
    <xf numFmtId="0" fontId="11" fillId="0" borderId="26" xfId="0" applyFont="1" applyBorder="1"/>
    <xf numFmtId="0" fontId="11" fillId="0" borderId="28" xfId="0" applyFont="1" applyBorder="1"/>
    <xf numFmtId="0" fontId="13" fillId="0" borderId="3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26" xfId="0" applyFont="1" applyBorder="1" applyAlignment="1">
      <alignment horizontal="center"/>
    </xf>
    <xf numFmtId="0" fontId="7" fillId="0" borderId="1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 wrapText="1"/>
    </xf>
    <xf numFmtId="0" fontId="11" fillId="0" borderId="32" xfId="0" applyFont="1" applyBorder="1"/>
    <xf numFmtId="0" fontId="11" fillId="0" borderId="33" xfId="0" applyFont="1" applyBorder="1"/>
    <xf numFmtId="0" fontId="11" fillId="0" borderId="37" xfId="0" applyFont="1" applyBorder="1"/>
    <xf numFmtId="0" fontId="24" fillId="0" borderId="14" xfId="0" applyFont="1" applyBorder="1" applyAlignment="1">
      <alignment horizontal="center" vertical="center" wrapText="1"/>
    </xf>
    <xf numFmtId="0" fontId="25" fillId="0" borderId="14" xfId="0" applyFont="1" applyBorder="1" applyAlignment="1"/>
    <xf numFmtId="0" fontId="26" fillId="0" borderId="27" xfId="0" applyFont="1" applyBorder="1"/>
    <xf numFmtId="0" fontId="26" fillId="0" borderId="33" xfId="0" applyFont="1" applyBorder="1"/>
    <xf numFmtId="0" fontId="26" fillId="0" borderId="37" xfId="0" applyFont="1" applyBorder="1"/>
    <xf numFmtId="0" fontId="9" fillId="0" borderId="16" xfId="0" applyFont="1" applyBorder="1" applyAlignment="1">
      <alignment horizontal="center"/>
    </xf>
    <xf numFmtId="165" fontId="7" fillId="0" borderId="16" xfId="0" applyNumberFormat="1" applyFont="1" applyBorder="1" applyAlignment="1">
      <alignment horizontal="center"/>
    </xf>
    <xf numFmtId="0" fontId="23" fillId="0" borderId="14" xfId="0" applyFont="1" applyBorder="1"/>
    <xf numFmtId="0" fontId="23" fillId="0" borderId="15" xfId="0" applyFont="1" applyBorder="1"/>
    <xf numFmtId="0" fontId="10" fillId="0" borderId="14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/>
    </xf>
    <xf numFmtId="0" fontId="11" fillId="0" borderId="35" xfId="0" applyFont="1" applyBorder="1"/>
    <xf numFmtId="164" fontId="9" fillId="0" borderId="16" xfId="0" applyNumberFormat="1" applyFont="1" applyBorder="1" applyAlignment="1">
      <alignment horizontal="center"/>
    </xf>
    <xf numFmtId="168" fontId="9" fillId="0" borderId="16" xfId="0" applyNumberFormat="1" applyFont="1" applyBorder="1" applyAlignment="1">
      <alignment horizontal="center"/>
    </xf>
    <xf numFmtId="168" fontId="11" fillId="0" borderId="17" xfId="0" applyNumberFormat="1" applyFont="1" applyBorder="1"/>
    <xf numFmtId="168" fontId="11" fillId="0" borderId="29" xfId="0" applyNumberFormat="1" applyFont="1" applyBorder="1"/>
    <xf numFmtId="0" fontId="9" fillId="0" borderId="9" xfId="0" applyFont="1" applyBorder="1" applyAlignment="1">
      <alignment horizontal="center"/>
    </xf>
    <xf numFmtId="0" fontId="11" fillId="0" borderId="11" xfId="0" applyFont="1" applyBorder="1"/>
    <xf numFmtId="0" fontId="9" fillId="0" borderId="9" xfId="0" applyFont="1" applyBorder="1" applyAlignment="1">
      <alignment horizontal="left"/>
    </xf>
    <xf numFmtId="0" fontId="11" fillId="0" borderId="10" xfId="0" applyFont="1" applyBorder="1"/>
    <xf numFmtId="2" fontId="9" fillId="0" borderId="9" xfId="0" applyNumberFormat="1" applyFont="1" applyBorder="1" applyAlignment="1">
      <alignment horizontal="center"/>
    </xf>
    <xf numFmtId="0" fontId="11" fillId="0" borderId="38" xfId="0" applyFont="1" applyBorder="1"/>
    <xf numFmtId="2" fontId="7" fillId="0" borderId="10" xfId="0" applyNumberFormat="1" applyFont="1" applyBorder="1" applyAlignment="1">
      <alignment horizontal="center"/>
    </xf>
    <xf numFmtId="0" fontId="17" fillId="0" borderId="23" xfId="0" applyFont="1" applyBorder="1" applyAlignment="1">
      <alignment horizontal="center" vertical="center" wrapText="1"/>
    </xf>
    <xf numFmtId="0" fontId="17" fillId="0" borderId="35" xfId="0" applyFont="1" applyBorder="1" applyAlignment="1">
      <alignment horizontal="center" vertical="center" wrapText="1"/>
    </xf>
    <xf numFmtId="0" fontId="17" fillId="0" borderId="36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7" fillId="0" borderId="26" xfId="0" applyFont="1" applyBorder="1" applyAlignment="1">
      <alignment horizontal="left" vertical="top" wrapText="1"/>
    </xf>
    <xf numFmtId="0" fontId="7" fillId="0" borderId="14" xfId="0" applyFont="1" applyBorder="1" applyAlignment="1">
      <alignment horizontal="left" vertical="top" wrapText="1"/>
    </xf>
    <xf numFmtId="0" fontId="7" fillId="0" borderId="27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7" xfId="0" applyFont="1" applyBorder="1" applyAlignment="1">
      <alignment horizontal="left" vertical="top" wrapText="1"/>
    </xf>
    <xf numFmtId="0" fontId="7" fillId="0" borderId="28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17" fillId="0" borderId="30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17" fillId="0" borderId="24" xfId="0" applyFont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27" xfId="0" applyFont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9" fillId="0" borderId="14" xfId="0" applyFont="1" applyBorder="1" applyAlignment="1">
      <alignment horizontal="left" vertical="top" wrapText="1"/>
    </xf>
    <xf numFmtId="0" fontId="9" fillId="0" borderId="15" xfId="0" applyFont="1" applyBorder="1" applyAlignment="1">
      <alignment horizontal="left" vertical="top" wrapText="1"/>
    </xf>
    <xf numFmtId="0" fontId="9" fillId="0" borderId="28" xfId="0" applyFont="1" applyBorder="1" applyAlignment="1">
      <alignment horizontal="left" vertical="top" wrapText="1"/>
    </xf>
    <xf numFmtId="0" fontId="9" fillId="0" borderId="17" xfId="0" applyFont="1" applyBorder="1" applyAlignment="1">
      <alignment horizontal="left" vertical="top" wrapText="1"/>
    </xf>
    <xf numFmtId="0" fontId="9" fillId="0" borderId="18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center"/>
    </xf>
    <xf numFmtId="0" fontId="9" fillId="0" borderId="30" xfId="0" applyFont="1" applyBorder="1" applyAlignment="1">
      <alignment horizontal="left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7" fillId="0" borderId="26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0" fillId="0" borderId="0" xfId="0" applyFont="1" applyAlignment="1"/>
    <xf numFmtId="0" fontId="7" fillId="0" borderId="23" xfId="0" applyFont="1" applyBorder="1" applyAlignment="1">
      <alignment horizontal="left"/>
    </xf>
    <xf numFmtId="0" fontId="9" fillId="0" borderId="36" xfId="0" applyFont="1" applyBorder="1" applyAlignment="1">
      <alignment horizontal="center"/>
    </xf>
    <xf numFmtId="0" fontId="18" fillId="0" borderId="26" xfId="0" applyFont="1" applyBorder="1" applyAlignment="1">
      <alignment horizontal="left"/>
    </xf>
    <xf numFmtId="0" fontId="17" fillId="2" borderId="32" xfId="0" applyFont="1" applyFill="1" applyBorder="1" applyAlignment="1">
      <alignment horizontal="left" vertical="top"/>
    </xf>
    <xf numFmtId="0" fontId="11" fillId="0" borderId="34" xfId="0" applyFont="1" applyBorder="1"/>
    <xf numFmtId="0" fontId="9" fillId="0" borderId="42" xfId="0" applyFont="1" applyBorder="1" applyAlignment="1">
      <alignment horizontal="left"/>
    </xf>
    <xf numFmtId="0" fontId="1" fillId="0" borderId="14" xfId="0" applyFont="1" applyBorder="1" applyAlignment="1"/>
    <xf numFmtId="0" fontId="7" fillId="0" borderId="30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9" fillId="0" borderId="14" xfId="0" applyFont="1" applyBorder="1" applyAlignment="1">
      <alignment horizontal="center" vertical="top"/>
    </xf>
    <xf numFmtId="0" fontId="9" fillId="0" borderId="5" xfId="0" applyFont="1" applyBorder="1" applyAlignment="1">
      <alignment horizontal="left"/>
    </xf>
    <xf numFmtId="0" fontId="9" fillId="0" borderId="5" xfId="0" applyFont="1" applyBorder="1" applyAlignment="1">
      <alignment horizontal="left" vertical="top" wrapText="1"/>
    </xf>
    <xf numFmtId="0" fontId="11" fillId="0" borderId="5" xfId="0" applyFont="1" applyBorder="1"/>
    <xf numFmtId="0" fontId="7" fillId="0" borderId="10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1" fillId="0" borderId="6" xfId="0" applyFont="1" applyBorder="1"/>
    <xf numFmtId="0" fontId="9" fillId="0" borderId="7" xfId="0" applyFont="1" applyBorder="1" applyAlignment="1">
      <alignment horizontal="center" wrapText="1"/>
    </xf>
    <xf numFmtId="0" fontId="11" fillId="0" borderId="1" xfId="0" applyFont="1" applyBorder="1"/>
    <xf numFmtId="0" fontId="11" fillId="0" borderId="8" xfId="0" applyFont="1" applyBorder="1"/>
    <xf numFmtId="0" fontId="20" fillId="0" borderId="5" xfId="0" applyFont="1" applyBorder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11" fillId="0" borderId="6" xfId="0" applyFont="1" applyBorder="1" applyAlignment="1">
      <alignment vertical="center"/>
    </xf>
    <xf numFmtId="0" fontId="9" fillId="0" borderId="0" xfId="0" applyFont="1" applyAlignment="1">
      <alignment horizontal="left" wrapText="1"/>
    </xf>
    <xf numFmtId="1" fontId="7" fillId="0" borderId="19" xfId="0" applyNumberFormat="1" applyFont="1" applyBorder="1" applyAlignment="1">
      <alignment horizontal="center"/>
    </xf>
    <xf numFmtId="0" fontId="11" fillId="0" borderId="20" xfId="0" applyFont="1" applyBorder="1"/>
    <xf numFmtId="0" fontId="18" fillId="0" borderId="5" xfId="0" applyFont="1" applyBorder="1" applyAlignment="1">
      <alignment horizontal="left"/>
    </xf>
    <xf numFmtId="0" fontId="9" fillId="0" borderId="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7" fillId="0" borderId="9" xfId="0" applyFont="1" applyBorder="1" applyAlignment="1">
      <alignment horizontal="left"/>
    </xf>
    <xf numFmtId="1" fontId="7" fillId="0" borderId="10" xfId="0" applyNumberFormat="1" applyFont="1" applyBorder="1" applyAlignment="1">
      <alignment horizontal="center"/>
    </xf>
    <xf numFmtId="0" fontId="7" fillId="0" borderId="0" xfId="0" applyNumberFormat="1" applyFont="1" applyAlignment="1">
      <alignment horizontal="left" vertical="top" wrapText="1"/>
    </xf>
    <xf numFmtId="1" fontId="7" fillId="0" borderId="21" xfId="0" applyNumberFormat="1" applyFont="1" applyBorder="1" applyAlignment="1">
      <alignment horizontal="center"/>
    </xf>
    <xf numFmtId="0" fontId="11" fillId="0" borderId="22" xfId="0" applyFont="1" applyBorder="1"/>
    <xf numFmtId="0" fontId="9" fillId="0" borderId="7" xfId="0" applyFont="1" applyBorder="1" applyAlignment="1">
      <alignment horizontal="left"/>
    </xf>
    <xf numFmtId="0" fontId="18" fillId="0" borderId="44" xfId="0" applyFont="1" applyBorder="1" applyAlignment="1">
      <alignment horizontal="center"/>
    </xf>
    <xf numFmtId="0" fontId="11" fillId="0" borderId="48" xfId="0" applyFont="1" applyBorder="1"/>
    <xf numFmtId="0" fontId="22" fillId="0" borderId="5" xfId="0" applyFont="1" applyBorder="1" applyAlignment="1">
      <alignment horizontal="left"/>
    </xf>
    <xf numFmtId="1" fontId="7" fillId="0" borderId="10" xfId="0" applyNumberFormat="1" applyFont="1" applyBorder="1" applyAlignment="1">
      <alignment horizontal="center" vertical="top"/>
    </xf>
    <xf numFmtId="1" fontId="11" fillId="0" borderId="11" xfId="0" applyNumberFormat="1" applyFont="1" applyBorder="1" applyAlignment="1">
      <alignment vertical="top"/>
    </xf>
    <xf numFmtId="0" fontId="9" fillId="0" borderId="9" xfId="0" applyFont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top" wrapText="1"/>
    </xf>
    <xf numFmtId="0" fontId="9" fillId="0" borderId="38" xfId="0" applyFont="1" applyBorder="1" applyAlignment="1">
      <alignment horizontal="center" vertical="top" wrapText="1"/>
    </xf>
    <xf numFmtId="169" fontId="7" fillId="0" borderId="10" xfId="0" applyNumberFormat="1" applyFont="1" applyBorder="1" applyAlignment="1">
      <alignment horizontal="center" vertical="top"/>
    </xf>
    <xf numFmtId="0" fontId="11" fillId="0" borderId="10" xfId="0" applyFont="1" applyBorder="1" applyAlignment="1">
      <alignment vertical="top"/>
    </xf>
    <xf numFmtId="169" fontId="7" fillId="0" borderId="9" xfId="0" applyNumberFormat="1" applyFont="1" applyBorder="1" applyAlignment="1">
      <alignment horizontal="center" vertical="top"/>
    </xf>
    <xf numFmtId="169" fontId="11" fillId="0" borderId="11" xfId="0" applyNumberFormat="1" applyFont="1" applyBorder="1" applyAlignment="1">
      <alignment vertical="top"/>
    </xf>
    <xf numFmtId="1" fontId="7" fillId="0" borderId="9" xfId="0" applyNumberFormat="1" applyFont="1" applyBorder="1" applyAlignment="1">
      <alignment horizontal="center" vertical="top"/>
    </xf>
    <xf numFmtId="169" fontId="7" fillId="0" borderId="2" xfId="0" applyNumberFormat="1" applyFont="1" applyBorder="1" applyAlignment="1">
      <alignment horizontal="center" vertical="top"/>
    </xf>
    <xf numFmtId="169" fontId="11" fillId="0" borderId="4" xfId="0" applyNumberFormat="1" applyFont="1" applyBorder="1" applyAlignment="1">
      <alignment vertical="top"/>
    </xf>
    <xf numFmtId="4" fontId="7" fillId="0" borderId="9" xfId="0" applyNumberFormat="1" applyFont="1" applyBorder="1" applyAlignment="1">
      <alignment horizontal="center" vertical="top"/>
    </xf>
    <xf numFmtId="4" fontId="11" fillId="0" borderId="11" xfId="0" applyNumberFormat="1" applyFont="1" applyBorder="1" applyAlignment="1">
      <alignment vertical="top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419100</xdr:colOff>
      <xdr:row>41</xdr:row>
      <xdr:rowOff>133350</xdr:rowOff>
    </xdr:from>
    <xdr:to>
      <xdr:col>9</xdr:col>
      <xdr:colOff>233293</xdr:colOff>
      <xdr:row>44</xdr:row>
      <xdr:rowOff>143258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329FE9-E2D3-468F-BD3A-EACC71C4F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7858125"/>
          <a:ext cx="2471668" cy="705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295275</xdr:colOff>
      <xdr:row>35</xdr:row>
      <xdr:rowOff>1</xdr:rowOff>
    </xdr:from>
    <xdr:to>
      <xdr:col>9</xdr:col>
      <xdr:colOff>278942</xdr:colOff>
      <xdr:row>37</xdr:row>
      <xdr:rowOff>171451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0F988F7-BFF0-4A6F-BD07-B095EECE6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8639176"/>
          <a:ext cx="2002967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41</xdr:row>
      <xdr:rowOff>9525</xdr:rowOff>
    </xdr:from>
    <xdr:to>
      <xdr:col>3</xdr:col>
      <xdr:colOff>383717</xdr:colOff>
      <xdr:row>43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27FF2BB4-E993-405A-9D15-4C7AF76AA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8486775"/>
          <a:ext cx="2002967" cy="571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38</xdr:row>
      <xdr:rowOff>9525</xdr:rowOff>
    </xdr:from>
    <xdr:to>
      <xdr:col>3</xdr:col>
      <xdr:colOff>383717</xdr:colOff>
      <xdr:row>40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27FF2BB4-E993-405A-9D15-4C7AF76AA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9201150"/>
          <a:ext cx="2002967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3" sqref="E13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10" t="s">
        <v>154</v>
      </c>
      <c r="B2" s="64" t="s">
        <v>128</v>
      </c>
      <c r="C2" s="2" t="s">
        <v>5</v>
      </c>
      <c r="D2" s="2" t="s">
        <v>6</v>
      </c>
      <c r="E2" s="64" t="s">
        <v>126</v>
      </c>
    </row>
    <row r="3" spans="1:5" x14ac:dyDescent="0.25">
      <c r="B3" s="2" t="s">
        <v>7</v>
      </c>
      <c r="D3" s="2" t="s">
        <v>8</v>
      </c>
      <c r="E3" s="2" t="s">
        <v>9</v>
      </c>
    </row>
    <row r="4" spans="1:5" x14ac:dyDescent="0.25">
      <c r="B4" s="2" t="s">
        <v>10</v>
      </c>
      <c r="D4" s="2" t="s">
        <v>11</v>
      </c>
      <c r="E4" s="2" t="s">
        <v>12</v>
      </c>
    </row>
    <row r="5" spans="1:5" x14ac:dyDescent="0.25">
      <c r="E5" s="105" t="s">
        <v>13</v>
      </c>
    </row>
    <row r="6" spans="1:5" ht="15" customHeight="1" x14ac:dyDescent="0.25">
      <c r="E6" s="40" t="s">
        <v>94</v>
      </c>
    </row>
    <row r="7" spans="1:5" ht="15" customHeight="1" x14ac:dyDescent="0.25">
      <c r="E7" s="122" t="s">
        <v>178</v>
      </c>
    </row>
    <row r="8" spans="1:5" ht="15" customHeight="1" x14ac:dyDescent="0.25">
      <c r="E8" t="s">
        <v>136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999"/>
  <sheetViews>
    <sheetView topLeftCell="A16" workbookViewId="0">
      <selection activeCell="B17" sqref="B1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14</v>
      </c>
      <c r="B1" s="3" t="s">
        <v>154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15</v>
      </c>
      <c r="B2" s="5" t="s">
        <v>155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16</v>
      </c>
      <c r="B3" s="6" t="str">
        <f>"BK0" &amp; B2 &amp; "/" &amp; B1</f>
        <v>BK001/26-27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s="52" customFormat="1" x14ac:dyDescent="0.25">
      <c r="A4" s="1" t="s">
        <v>17</v>
      </c>
      <c r="B4" s="7">
        <v>46120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s="52" customFormat="1" x14ac:dyDescent="0.25">
      <c r="A5" s="1" t="s">
        <v>114</v>
      </c>
      <c r="B5" s="6" t="s">
        <v>173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1" t="s">
        <v>18</v>
      </c>
      <c r="B6" s="7" t="str">
        <f>IF(B1="24-25","AD240424008317F",IF(B1="23-24","AD240322004861M",IF(B1="25-26","AD240725023182F",IF(B1="26-27","AD2403260117948",IF(B1="","select the financial year")))))</f>
        <v>AD2403260117948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s="38" customFormat="1" ht="149.25" customHeight="1" x14ac:dyDescent="0.25">
      <c r="A7" s="86" t="s">
        <v>42</v>
      </c>
      <c r="B7" s="85" t="s">
        <v>174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" customHeight="1" x14ac:dyDescent="0.25">
      <c r="A8" s="129" t="s">
        <v>19</v>
      </c>
      <c r="B8" s="131" t="s">
        <v>174</v>
      </c>
      <c r="C8" s="10"/>
      <c r="D8" s="10"/>
      <c r="E8" s="10"/>
      <c r="F8" s="10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0" customHeight="1" x14ac:dyDescent="0.25">
      <c r="A9" s="130"/>
      <c r="B9" s="132"/>
      <c r="C9" s="10"/>
      <c r="D9" s="10"/>
      <c r="E9" s="10"/>
      <c r="F9" s="10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35.25" customHeight="1" x14ac:dyDescent="0.25">
      <c r="A10" s="130"/>
      <c r="B10" s="132"/>
      <c r="C10" s="10"/>
      <c r="D10" s="10"/>
      <c r="E10" s="10"/>
      <c r="F10" s="10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30"/>
      <c r="B11" s="132"/>
      <c r="C11" s="10"/>
      <c r="D11" s="10"/>
      <c r="E11" s="10"/>
      <c r="F11" s="10"/>
      <c r="G11" s="4"/>
      <c r="H11" s="4"/>
      <c r="I11" s="4"/>
      <c r="J11" s="4"/>
      <c r="K11" s="4"/>
      <c r="L11" s="4"/>
      <c r="M11" s="4"/>
      <c r="N11" s="11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25">
      <c r="A12" s="130"/>
      <c r="B12" s="132"/>
      <c r="C12" s="10"/>
      <c r="D12" s="10"/>
      <c r="E12" s="10"/>
      <c r="F12" s="10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130"/>
      <c r="B13" s="132"/>
      <c r="C13" s="10"/>
      <c r="D13" s="10"/>
      <c r="E13" s="10"/>
      <c r="F13" s="10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34.5" customHeight="1" x14ac:dyDescent="0.25">
      <c r="A14" s="8" t="s">
        <v>20</v>
      </c>
      <c r="B14" s="9">
        <v>4</v>
      </c>
      <c r="C14" s="10"/>
      <c r="D14" s="10"/>
      <c r="E14" s="10"/>
      <c r="F14" s="10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21</v>
      </c>
      <c r="B15" s="3" t="s">
        <v>128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22</v>
      </c>
      <c r="B16" s="3" t="s">
        <v>5</v>
      </c>
      <c r="C16" s="3"/>
      <c r="D16" s="3"/>
      <c r="E16" s="3"/>
      <c r="F16" s="3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23</v>
      </c>
      <c r="B17" s="3" t="s">
        <v>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24</v>
      </c>
      <c r="B18" s="3" t="s">
        <v>127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2" t="s">
        <v>25</v>
      </c>
      <c r="B19" s="3" t="s">
        <v>102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2" t="s">
        <v>26</v>
      </c>
      <c r="B20" s="3" t="s">
        <v>102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2" t="s">
        <v>27</v>
      </c>
      <c r="B21" s="14" t="s">
        <v>168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2" t="s">
        <v>28</v>
      </c>
      <c r="B22" s="14" t="s">
        <v>168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3" t="s">
        <v>29</v>
      </c>
      <c r="B23" s="3" t="s">
        <v>169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106</v>
      </c>
      <c r="B24" s="14" t="s">
        <v>172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103</v>
      </c>
      <c r="B25" s="14">
        <v>300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s="52" customFormat="1" ht="15.75" customHeight="1" x14ac:dyDescent="0.25">
      <c r="A26" s="1" t="s">
        <v>105</v>
      </c>
      <c r="B26" s="14" t="s">
        <v>125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1" t="s">
        <v>104</v>
      </c>
      <c r="B27" s="14">
        <v>420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4" t="s">
        <v>107</v>
      </c>
      <c r="B28" s="14">
        <v>12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1" t="s">
        <v>108</v>
      </c>
      <c r="B29" s="14" t="s">
        <v>125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1" t="s">
        <v>109</v>
      </c>
      <c r="B30" s="14">
        <v>420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 t="s">
        <v>110</v>
      </c>
      <c r="B31" s="14">
        <v>12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1" t="s">
        <v>111</v>
      </c>
      <c r="B32" s="14" t="s">
        <v>125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1" t="s">
        <v>112</v>
      </c>
      <c r="B33" s="14">
        <v>0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 t="s">
        <v>113</v>
      </c>
      <c r="B34" s="14">
        <v>0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</sheetData>
  <sheetProtection selectLockedCells="1"/>
  <mergeCells count="2">
    <mergeCell ref="A8:A13"/>
    <mergeCell ref="B8:B13"/>
  </mergeCells>
  <conditionalFormatting sqref="B1:B3 B5:B28">
    <cfRule type="containsBlanks" dxfId="8" priority="11">
      <formula>LEN(TRIM(B1))=0</formula>
    </cfRule>
  </conditionalFormatting>
  <conditionalFormatting sqref="B6:B7">
    <cfRule type="containsText" dxfId="7" priority="12" operator="containsText" text="FALSE">
      <formula>NOT(ISERROR(SEARCH(("FALSE"),(B6))))</formula>
    </cfRule>
  </conditionalFormatting>
  <conditionalFormatting sqref="B6:B7">
    <cfRule type="containsText" dxfId="6" priority="13" operator="containsText" text="select the financial year">
      <formula>NOT(ISERROR(SEARCH(("select the financial year"),(B6))))</formula>
    </cfRule>
  </conditionalFormatting>
  <conditionalFormatting sqref="B30:B31">
    <cfRule type="containsBlanks" dxfId="5" priority="10">
      <formula>LEN(TRIM(B30))=0</formula>
    </cfRule>
  </conditionalFormatting>
  <conditionalFormatting sqref="B33:B34">
    <cfRule type="containsBlanks" dxfId="4" priority="9">
      <formula>LEN(TRIM(B33))=0</formula>
    </cfRule>
  </conditionalFormatting>
  <conditionalFormatting sqref="B4">
    <cfRule type="containsBlanks" dxfId="3" priority="7">
      <formula>LEN(TRIM(B4))=0</formula>
    </cfRule>
  </conditionalFormatting>
  <conditionalFormatting sqref="B29">
    <cfRule type="containsBlanks" dxfId="2" priority="3">
      <formula>LEN(TRIM(B29))=0</formula>
    </cfRule>
  </conditionalFormatting>
  <conditionalFormatting sqref="B32">
    <cfRule type="containsBlanks" dxfId="1" priority="2">
      <formula>LEN(TRIM(B32))=0</formula>
    </cfRule>
  </conditionalFormatting>
  <dataValidations count="3">
    <dataValidation type="decimal" allowBlank="1" showErrorMessage="1" sqref="B14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 B27:B28 B30:B31 B33:B34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B15</xm:sqref>
        </x14:dataValidation>
        <x14:dataValidation type="list" allowBlank="1" showErrorMessage="1">
          <x14:formula1>
            <xm:f>'company data'!$D$2:$D$23</xm:f>
          </x14:formula1>
          <xm:sqref>B17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B18</xm:sqref>
        </x14:dataValidation>
        <x14:dataValidation type="list" allowBlank="1" showErrorMessage="1">
          <x14:formula1>
            <xm:f>'company data'!$C$2:$C$16</xm:f>
          </x14:formula1>
          <xm:sqref>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002"/>
  <sheetViews>
    <sheetView showGridLines="0" tabSelected="1" topLeftCell="A16" zoomScaleNormal="100" workbookViewId="0">
      <selection activeCell="O30" sqref="O30:P30"/>
    </sheetView>
  </sheetViews>
  <sheetFormatPr defaultColWidth="14.42578125" defaultRowHeight="15" x14ac:dyDescent="0.25"/>
  <cols>
    <col min="1" max="1" width="8.7109375" style="44" customWidth="1"/>
    <col min="2" max="2" width="8.28515625" style="44" customWidth="1"/>
    <col min="3" max="3" width="8.7109375" style="44" customWidth="1"/>
    <col min="4" max="4" width="18.28515625" style="44" customWidth="1"/>
    <col min="5" max="5" width="9.7109375" style="44" customWidth="1"/>
    <col min="6" max="6" width="6.5703125" style="44" customWidth="1"/>
    <col min="7" max="7" width="4.7109375" style="44" customWidth="1"/>
    <col min="8" max="8" width="10.140625" style="44" customWidth="1"/>
    <col min="9" max="9" width="8.7109375" style="44" customWidth="1"/>
    <col min="10" max="10" width="6.5703125" style="44" customWidth="1"/>
    <col min="11" max="12" width="8.7109375" style="44" customWidth="1"/>
    <col min="13" max="13" width="9.85546875" style="44" customWidth="1"/>
    <col min="14" max="26" width="8.7109375" style="44" customWidth="1"/>
    <col min="27" max="16384" width="14.42578125" style="44"/>
  </cols>
  <sheetData>
    <row r="1" spans="1:10" x14ac:dyDescent="0.25">
      <c r="A1" s="234" t="s">
        <v>33</v>
      </c>
      <c r="B1" s="173"/>
      <c r="C1" s="173"/>
      <c r="D1" s="173"/>
      <c r="E1" s="173"/>
      <c r="F1" s="173"/>
      <c r="G1" s="173"/>
      <c r="H1" s="173"/>
      <c r="I1" s="173"/>
      <c r="J1" s="173"/>
    </row>
    <row r="2" spans="1:10" ht="3.75" customHeight="1" thickBot="1" x14ac:dyDescent="0.3">
      <c r="A2" s="194"/>
      <c r="B2" s="194"/>
      <c r="C2" s="194"/>
      <c r="D2" s="194"/>
      <c r="E2" s="194"/>
      <c r="F2" s="194"/>
      <c r="G2" s="194"/>
      <c r="H2" s="194"/>
      <c r="I2" s="194"/>
      <c r="J2" s="194"/>
    </row>
    <row r="3" spans="1:10" x14ac:dyDescent="0.25">
      <c r="A3" s="55" t="s">
        <v>34</v>
      </c>
      <c r="B3" s="48"/>
      <c r="C3" s="48"/>
      <c r="D3" s="60"/>
      <c r="E3" s="235" t="s">
        <v>35</v>
      </c>
      <c r="F3" s="209"/>
      <c r="G3" s="236"/>
      <c r="H3" s="235" t="s">
        <v>36</v>
      </c>
      <c r="I3" s="209"/>
      <c r="J3" s="210"/>
    </row>
    <row r="4" spans="1:10" ht="15.75" thickBot="1" x14ac:dyDescent="0.3">
      <c r="A4" s="45" t="s">
        <v>97</v>
      </c>
      <c r="B4" s="41"/>
      <c r="C4" s="41"/>
      <c r="D4" s="43"/>
      <c r="E4" s="237" t="str">
        <f>'input data'!B3</f>
        <v>BK001/26-27</v>
      </c>
      <c r="F4" s="202"/>
      <c r="G4" s="206"/>
      <c r="H4" s="238">
        <f>'input data'!B4</f>
        <v>46120</v>
      </c>
      <c r="I4" s="239"/>
      <c r="J4" s="240"/>
    </row>
    <row r="5" spans="1:10" ht="15" customHeight="1" x14ac:dyDescent="0.25">
      <c r="A5" s="142" t="s">
        <v>135</v>
      </c>
      <c r="B5" s="143"/>
      <c r="C5" s="143"/>
      <c r="D5" s="143"/>
      <c r="E5" s="177" t="s">
        <v>100</v>
      </c>
      <c r="F5" s="170"/>
      <c r="G5" s="171"/>
      <c r="H5" s="177" t="s">
        <v>37</v>
      </c>
      <c r="I5" s="170"/>
      <c r="J5" s="198"/>
    </row>
    <row r="6" spans="1:10" ht="15.75" thickBot="1" x14ac:dyDescent="0.3">
      <c r="A6" s="142"/>
      <c r="B6" s="143"/>
      <c r="C6" s="143"/>
      <c r="D6" s="143"/>
      <c r="E6" s="230" t="str">
        <f>'input data'!B5</f>
        <v>PI2702/25-26</v>
      </c>
      <c r="F6" s="202"/>
      <c r="G6" s="206"/>
      <c r="H6" s="231" t="str">
        <f>'input data'!B6</f>
        <v>AD2403260117948</v>
      </c>
      <c r="I6" s="202"/>
      <c r="J6" s="203"/>
    </row>
    <row r="7" spans="1:10" x14ac:dyDescent="0.25">
      <c r="A7" s="142"/>
      <c r="B7" s="143"/>
      <c r="C7" s="143"/>
      <c r="D7" s="143"/>
      <c r="E7" s="177" t="s">
        <v>38</v>
      </c>
      <c r="F7" s="170"/>
      <c r="G7" s="171"/>
      <c r="H7" s="177" t="s">
        <v>39</v>
      </c>
      <c r="I7" s="170"/>
      <c r="J7" s="198"/>
    </row>
    <row r="8" spans="1:10" ht="15.75" thickBot="1" x14ac:dyDescent="0.3">
      <c r="A8" s="142"/>
      <c r="B8" s="143"/>
      <c r="C8" s="143"/>
      <c r="D8" s="143"/>
      <c r="E8" s="199" t="s">
        <v>96</v>
      </c>
      <c r="F8" s="232"/>
      <c r="G8" s="233"/>
      <c r="H8" s="199" t="s">
        <v>95</v>
      </c>
      <c r="I8" s="194"/>
      <c r="J8" s="193"/>
    </row>
    <row r="9" spans="1:10" x14ac:dyDescent="0.25">
      <c r="A9" s="142"/>
      <c r="B9" s="143"/>
      <c r="C9" s="143"/>
      <c r="D9" s="143"/>
      <c r="E9" s="208" t="s">
        <v>40</v>
      </c>
      <c r="F9" s="209"/>
      <c r="G9" s="210"/>
      <c r="H9" s="208" t="s">
        <v>41</v>
      </c>
      <c r="I9" s="209"/>
      <c r="J9" s="210"/>
    </row>
    <row r="10" spans="1:10" ht="15.75" thickBot="1" x14ac:dyDescent="0.3">
      <c r="A10" s="142"/>
      <c r="B10" s="143"/>
      <c r="C10" s="143"/>
      <c r="D10" s="143"/>
      <c r="E10" s="190" t="str">
        <f>'input data'!B15</f>
        <v>Wooden Crate Packing</v>
      </c>
      <c r="F10" s="173"/>
      <c r="G10" s="193"/>
      <c r="H10" s="190" t="str">
        <f>'input data'!B14 &amp; " X " &amp; 'input data'!B16</f>
        <v>4 X FCL</v>
      </c>
      <c r="I10" s="173"/>
      <c r="J10" s="193"/>
    </row>
    <row r="11" spans="1:10" x14ac:dyDescent="0.25">
      <c r="A11" s="142"/>
      <c r="B11" s="143"/>
      <c r="C11" s="143"/>
      <c r="D11" s="143"/>
      <c r="E11" s="208" t="s">
        <v>43</v>
      </c>
      <c r="F11" s="209"/>
      <c r="G11" s="210"/>
      <c r="H11" s="211" t="s">
        <v>44</v>
      </c>
      <c r="I11" s="209"/>
      <c r="J11" s="210"/>
    </row>
    <row r="12" spans="1:10" ht="15" customHeight="1" x14ac:dyDescent="0.25">
      <c r="A12" s="142"/>
      <c r="B12" s="143"/>
      <c r="C12" s="143"/>
      <c r="D12" s="143"/>
      <c r="E12" s="221" t="str">
        <f>'input data'!B17</f>
        <v>FOB</v>
      </c>
      <c r="F12" s="173"/>
      <c r="G12" s="193"/>
      <c r="H12" s="225" t="str">
        <f>'input data'!B18</f>
        <v>30% Advance and Remaining Against BL within 7 days</v>
      </c>
      <c r="I12" s="226"/>
      <c r="J12" s="227"/>
    </row>
    <row r="13" spans="1:10" ht="15.75" thickBot="1" x14ac:dyDescent="0.3">
      <c r="A13" s="144"/>
      <c r="B13" s="145"/>
      <c r="C13" s="145"/>
      <c r="D13" s="145"/>
      <c r="E13" s="222"/>
      <c r="F13" s="223"/>
      <c r="G13" s="224"/>
      <c r="H13" s="228"/>
      <c r="I13" s="228"/>
      <c r="J13" s="229"/>
    </row>
    <row r="14" spans="1:10" ht="15" customHeight="1" x14ac:dyDescent="0.25">
      <c r="A14" s="45" t="s">
        <v>42</v>
      </c>
      <c r="B14" s="41"/>
      <c r="C14" s="41"/>
      <c r="D14" s="43"/>
      <c r="E14" s="133" t="s">
        <v>45</v>
      </c>
      <c r="F14" s="134"/>
      <c r="G14" s="134"/>
      <c r="H14" s="134"/>
      <c r="I14" s="134"/>
      <c r="J14" s="135"/>
    </row>
    <row r="15" spans="1:10" x14ac:dyDescent="0.25">
      <c r="A15" s="214" t="str">
        <f>'input data'!B7</f>
        <v>GRUPO MARMOLERO SM S. DE R.L. DE C.V.
Add: ALVARO OBREGON 43, 
STA.MA.TEQUEPEXPAN, TLAQUEPAQUE, MEXICO - 
45601
RFC:  GMS170908L86</v>
      </c>
      <c r="B15" s="173"/>
      <c r="C15" s="173"/>
      <c r="D15" s="174"/>
      <c r="E15" s="136" t="str">
        <f>'input data'!B8</f>
        <v>GRUPO MARMOLERO SM S. DE R.L. DE C.V.
Add: ALVARO OBREGON 43, 
STA.MA.TEQUEPEXPAN, TLAQUEPAQUE, MEXICO - 
45601
RFC:  GMS170908L86</v>
      </c>
      <c r="F15" s="137"/>
      <c r="G15" s="137"/>
      <c r="H15" s="137"/>
      <c r="I15" s="137"/>
      <c r="J15" s="138"/>
    </row>
    <row r="16" spans="1:10" x14ac:dyDescent="0.25">
      <c r="A16" s="215"/>
      <c r="B16" s="173"/>
      <c r="C16" s="173"/>
      <c r="D16" s="174"/>
      <c r="E16" s="136"/>
      <c r="F16" s="137"/>
      <c r="G16" s="137"/>
      <c r="H16" s="137"/>
      <c r="I16" s="137"/>
      <c r="J16" s="138"/>
    </row>
    <row r="17" spans="1:17" x14ac:dyDescent="0.25">
      <c r="A17" s="215"/>
      <c r="B17" s="173"/>
      <c r="C17" s="173"/>
      <c r="D17" s="174"/>
      <c r="E17" s="136"/>
      <c r="F17" s="137"/>
      <c r="G17" s="137"/>
      <c r="H17" s="137"/>
      <c r="I17" s="137"/>
      <c r="J17" s="138"/>
    </row>
    <row r="18" spans="1:17" x14ac:dyDescent="0.25">
      <c r="A18" s="215"/>
      <c r="B18" s="173"/>
      <c r="C18" s="173"/>
      <c r="D18" s="174"/>
      <c r="E18" s="136"/>
      <c r="F18" s="137"/>
      <c r="G18" s="137"/>
      <c r="H18" s="137"/>
      <c r="I18" s="137"/>
      <c r="J18" s="138"/>
      <c r="N18" s="83"/>
    </row>
    <row r="19" spans="1:17" x14ac:dyDescent="0.25">
      <c r="A19" s="215"/>
      <c r="B19" s="173"/>
      <c r="C19" s="173"/>
      <c r="D19" s="174"/>
      <c r="E19" s="136"/>
      <c r="F19" s="137"/>
      <c r="G19" s="137"/>
      <c r="H19" s="137"/>
      <c r="I19" s="137"/>
      <c r="J19" s="138"/>
    </row>
    <row r="20" spans="1:17" ht="4.5" customHeight="1" thickBot="1" x14ac:dyDescent="0.3">
      <c r="A20" s="216"/>
      <c r="B20" s="202"/>
      <c r="C20" s="202"/>
      <c r="D20" s="206"/>
      <c r="E20" s="139"/>
      <c r="F20" s="140"/>
      <c r="G20" s="140"/>
      <c r="H20" s="140"/>
      <c r="I20" s="140"/>
      <c r="J20" s="141"/>
    </row>
    <row r="21" spans="1:17" ht="15.75" customHeight="1" x14ac:dyDescent="0.25">
      <c r="A21" s="217" t="s">
        <v>46</v>
      </c>
      <c r="B21" s="171"/>
      <c r="C21" s="218" t="s">
        <v>25</v>
      </c>
      <c r="D21" s="171"/>
      <c r="E21" s="218" t="s">
        <v>47</v>
      </c>
      <c r="F21" s="170"/>
      <c r="G21" s="171"/>
      <c r="H21" s="218" t="s">
        <v>29</v>
      </c>
      <c r="I21" s="170"/>
      <c r="J21" s="198"/>
    </row>
    <row r="22" spans="1:17" ht="14.25" customHeight="1" x14ac:dyDescent="0.25">
      <c r="A22" s="219" t="s">
        <v>48</v>
      </c>
      <c r="B22" s="174"/>
      <c r="C22" s="220" t="str">
        <f>'input data'!B19</f>
        <v>CHENNAI</v>
      </c>
      <c r="D22" s="174"/>
      <c r="E22" s="200" t="s">
        <v>49</v>
      </c>
      <c r="F22" s="173"/>
      <c r="G22" s="174"/>
      <c r="H22" s="200" t="str">
        <f>'input data'!B23</f>
        <v>MEXICO</v>
      </c>
      <c r="I22" s="173"/>
      <c r="J22" s="193"/>
    </row>
    <row r="23" spans="1:17" ht="15" customHeight="1" thickBot="1" x14ac:dyDescent="0.3">
      <c r="A23" s="204"/>
      <c r="B23" s="174"/>
      <c r="C23" s="201"/>
      <c r="D23" s="206"/>
      <c r="E23" s="201"/>
      <c r="F23" s="202"/>
      <c r="G23" s="206"/>
      <c r="H23" s="201"/>
      <c r="I23" s="202"/>
      <c r="J23" s="203"/>
    </row>
    <row r="24" spans="1:17" ht="15.75" customHeight="1" x14ac:dyDescent="0.25">
      <c r="A24" s="212" t="s">
        <v>50</v>
      </c>
      <c r="B24" s="171"/>
      <c r="C24" s="213" t="s">
        <v>26</v>
      </c>
      <c r="D24" s="171"/>
      <c r="E24" s="177" t="s">
        <v>27</v>
      </c>
      <c r="F24" s="170"/>
      <c r="G24" s="171"/>
      <c r="H24" s="213" t="s">
        <v>28</v>
      </c>
      <c r="I24" s="170"/>
      <c r="J24" s="198"/>
    </row>
    <row r="25" spans="1:17" ht="15.75" customHeight="1" thickBot="1" x14ac:dyDescent="0.3">
      <c r="A25" s="205"/>
      <c r="B25" s="206"/>
      <c r="C25" s="207" t="str">
        <f>'input data'!B20</f>
        <v>CHENNAI</v>
      </c>
      <c r="D25" s="206"/>
      <c r="E25" s="207" t="str">
        <f>'input data'!B21</f>
        <v>MANZANILLO</v>
      </c>
      <c r="F25" s="202"/>
      <c r="G25" s="206"/>
      <c r="H25" s="207" t="str">
        <f>'input data'!B22</f>
        <v>MANZANILLO</v>
      </c>
      <c r="I25" s="202"/>
      <c r="J25" s="203"/>
    </row>
    <row r="26" spans="1:17" ht="15.75" customHeight="1" x14ac:dyDescent="0.25">
      <c r="A26" s="167" t="s">
        <v>51</v>
      </c>
      <c r="B26" s="169" t="s">
        <v>52</v>
      </c>
      <c r="C26" s="170"/>
      <c r="D26" s="171"/>
      <c r="E26" s="175" t="s">
        <v>53</v>
      </c>
      <c r="F26" s="177" t="s">
        <v>54</v>
      </c>
      <c r="G26" s="171"/>
      <c r="H26" s="19" t="s">
        <v>32</v>
      </c>
      <c r="I26" s="177" t="s">
        <v>55</v>
      </c>
      <c r="J26" s="198"/>
    </row>
    <row r="27" spans="1:17" ht="15.75" customHeight="1" thickBot="1" x14ac:dyDescent="0.3">
      <c r="A27" s="168"/>
      <c r="B27" s="172"/>
      <c r="C27" s="173"/>
      <c r="D27" s="174"/>
      <c r="E27" s="176"/>
      <c r="F27" s="199" t="s">
        <v>56</v>
      </c>
      <c r="G27" s="174"/>
      <c r="H27" s="99" t="s">
        <v>56</v>
      </c>
      <c r="I27" s="199" t="s">
        <v>57</v>
      </c>
      <c r="J27" s="193"/>
      <c r="M27" s="124"/>
    </row>
    <row r="28" spans="1:17" ht="15.75" customHeight="1" thickBot="1" x14ac:dyDescent="0.3">
      <c r="A28" s="98">
        <v>1</v>
      </c>
      <c r="B28" s="155" t="str">
        <f>'input data'!B26</f>
        <v>Polished Granite Slabs</v>
      </c>
      <c r="C28" s="156"/>
      <c r="D28" s="157"/>
      <c r="E28" s="100">
        <v>68022390</v>
      </c>
      <c r="F28" s="158">
        <v>1347.12</v>
      </c>
      <c r="G28" s="159"/>
      <c r="H28" s="101">
        <v>29</v>
      </c>
      <c r="I28" s="160">
        <f>F28*H28</f>
        <v>39066.479999999996</v>
      </c>
      <c r="J28" s="161"/>
      <c r="M28" s="123"/>
    </row>
    <row r="29" spans="1:17" ht="15.75" customHeight="1" thickBot="1" x14ac:dyDescent="0.3">
      <c r="A29" s="98">
        <v>2</v>
      </c>
      <c r="B29" s="162" t="s">
        <v>187</v>
      </c>
      <c r="C29" s="163"/>
      <c r="D29" s="164"/>
      <c r="E29" s="102">
        <v>68022390</v>
      </c>
      <c r="F29" s="165">
        <v>468</v>
      </c>
      <c r="G29" s="166"/>
      <c r="H29" s="103">
        <v>23</v>
      </c>
      <c r="I29" s="160">
        <f>F29*H29</f>
        <v>10764</v>
      </c>
      <c r="J29" s="161"/>
      <c r="M29" s="123"/>
    </row>
    <row r="30" spans="1:17" ht="15.75" customHeight="1" x14ac:dyDescent="0.25">
      <c r="A30" s="61" t="s">
        <v>30</v>
      </c>
      <c r="B30" s="41"/>
      <c r="C30" s="41" t="s">
        <v>31</v>
      </c>
      <c r="D30" s="41" t="s">
        <v>170</v>
      </c>
      <c r="E30" s="41" t="s">
        <v>171</v>
      </c>
      <c r="F30" s="41"/>
      <c r="G30" s="41"/>
      <c r="H30" s="54"/>
      <c r="I30" s="41"/>
      <c r="J30" s="51"/>
      <c r="M30" s="97"/>
      <c r="O30" s="190"/>
      <c r="P30" s="191"/>
      <c r="Q30" s="59"/>
    </row>
    <row r="31" spans="1:17" ht="15.75" customHeight="1" x14ac:dyDescent="0.25">
      <c r="A31" s="190" t="str">
        <f>UPPER('input data'!B24)</f>
        <v>EITU0049513</v>
      </c>
      <c r="B31" s="191"/>
      <c r="C31" s="59">
        <v>70</v>
      </c>
      <c r="D31" s="59">
        <v>27500</v>
      </c>
      <c r="E31" s="59">
        <v>27000</v>
      </c>
      <c r="F31" s="41"/>
      <c r="G31" s="41"/>
      <c r="H31" s="54"/>
      <c r="I31" s="41"/>
      <c r="J31" s="51"/>
    </row>
    <row r="32" spans="1:17" s="115" customFormat="1" ht="15.75" customHeight="1" x14ac:dyDescent="0.25">
      <c r="A32" s="190" t="s">
        <v>176</v>
      </c>
      <c r="B32" s="191"/>
      <c r="C32" s="59">
        <v>73</v>
      </c>
      <c r="D32" s="59">
        <v>27500</v>
      </c>
      <c r="E32" s="59">
        <v>27000</v>
      </c>
      <c r="F32" s="41"/>
      <c r="G32" s="41"/>
      <c r="H32" s="54"/>
      <c r="I32" s="41"/>
      <c r="J32" s="51"/>
      <c r="N32" s="121"/>
    </row>
    <row r="33" spans="1:12" s="115" customFormat="1" ht="15.75" customHeight="1" x14ac:dyDescent="0.25">
      <c r="A33" s="190" t="s">
        <v>175</v>
      </c>
      <c r="B33" s="191"/>
      <c r="C33" s="59">
        <v>77</v>
      </c>
      <c r="D33" s="59">
        <v>27500</v>
      </c>
      <c r="E33" s="59">
        <v>27000</v>
      </c>
      <c r="F33" s="41"/>
      <c r="G33" s="41"/>
      <c r="H33" s="54"/>
      <c r="I33" s="41"/>
      <c r="J33" s="51"/>
    </row>
    <row r="34" spans="1:12" ht="15.75" customHeight="1" thickBot="1" x14ac:dyDescent="0.3">
      <c r="A34" s="190" t="s">
        <v>179</v>
      </c>
      <c r="B34" s="191"/>
      <c r="C34" s="59">
        <v>650</v>
      </c>
      <c r="D34" s="59">
        <v>27500</v>
      </c>
      <c r="E34" s="59">
        <v>27000</v>
      </c>
      <c r="F34" s="41"/>
      <c r="G34" s="41"/>
      <c r="H34" s="54"/>
      <c r="I34" s="46"/>
      <c r="J34" s="53"/>
    </row>
    <row r="35" spans="1:12" ht="15.75" customHeight="1" x14ac:dyDescent="0.25">
      <c r="A35" s="55" t="s">
        <v>58</v>
      </c>
      <c r="B35" s="48"/>
      <c r="C35" s="48"/>
      <c r="D35" s="48"/>
      <c r="E35" s="48"/>
      <c r="F35" s="48"/>
      <c r="G35" s="48"/>
      <c r="H35" s="49"/>
      <c r="I35" s="192">
        <f>SUM(I28:J34)</f>
        <v>49830.479999999996</v>
      </c>
      <c r="J35" s="193"/>
    </row>
    <row r="36" spans="1:12" ht="15.75" customHeight="1" thickBot="1" x14ac:dyDescent="0.3">
      <c r="A36" s="195" t="str">
        <f>SpellNumberUSD(I35)</f>
        <v>Forty Nine Thousand Eight Hundred Thirty  Dollars and Forty Eight Cents</v>
      </c>
      <c r="B36" s="196"/>
      <c r="C36" s="196"/>
      <c r="D36" s="196"/>
      <c r="E36" s="196"/>
      <c r="F36" s="196"/>
      <c r="G36" s="196"/>
      <c r="H36" s="197"/>
      <c r="I36" s="194"/>
      <c r="J36" s="193"/>
    </row>
    <row r="37" spans="1:12" s="83" customFormat="1" ht="15.75" customHeight="1" x14ac:dyDescent="0.25">
      <c r="A37" s="146" t="s">
        <v>130</v>
      </c>
      <c r="B37" s="147"/>
      <c r="C37" s="147"/>
      <c r="D37" s="147"/>
      <c r="E37" s="147"/>
      <c r="F37" s="147"/>
      <c r="G37" s="147"/>
      <c r="H37" s="147"/>
      <c r="I37" s="147"/>
      <c r="J37" s="148"/>
    </row>
    <row r="38" spans="1:12" s="83" customFormat="1" ht="15.75" customHeight="1" x14ac:dyDescent="0.25">
      <c r="A38" s="91" t="s">
        <v>129</v>
      </c>
      <c r="B38" s="84"/>
      <c r="C38" s="84"/>
      <c r="D38" s="84"/>
      <c r="E38" s="84" t="s">
        <v>159</v>
      </c>
      <c r="F38" s="87"/>
      <c r="G38" s="87"/>
      <c r="H38" s="87"/>
      <c r="I38" s="87"/>
      <c r="J38" s="88"/>
    </row>
    <row r="39" spans="1:12" s="83" customFormat="1" ht="15.75" customHeight="1" x14ac:dyDescent="0.25">
      <c r="A39" s="91" t="s">
        <v>156</v>
      </c>
      <c r="B39" s="87"/>
      <c r="C39" s="87"/>
      <c r="D39" s="87"/>
      <c r="E39" s="84" t="s">
        <v>160</v>
      </c>
      <c r="F39" s="87"/>
      <c r="G39" s="87"/>
      <c r="H39" s="87"/>
      <c r="I39" s="87"/>
      <c r="J39" s="88"/>
    </row>
    <row r="40" spans="1:12" s="83" customFormat="1" ht="15.75" customHeight="1" thickBot="1" x14ac:dyDescent="0.3">
      <c r="A40" s="92" t="s">
        <v>158</v>
      </c>
      <c r="B40" s="93"/>
      <c r="C40" s="93"/>
      <c r="D40" s="93"/>
      <c r="E40" s="94" t="s">
        <v>157</v>
      </c>
      <c r="F40" s="93"/>
      <c r="G40" s="93"/>
      <c r="H40" s="93"/>
      <c r="I40" s="93"/>
      <c r="J40" s="95"/>
    </row>
    <row r="41" spans="1:12" ht="15.75" customHeight="1" thickBot="1" x14ac:dyDescent="0.3">
      <c r="A41" s="149" t="s">
        <v>59</v>
      </c>
      <c r="B41" s="150"/>
      <c r="C41" s="150"/>
      <c r="D41" s="151"/>
      <c r="E41" s="152" t="s">
        <v>98</v>
      </c>
      <c r="F41" s="153"/>
      <c r="G41" s="153"/>
      <c r="H41" s="153"/>
      <c r="I41" s="153"/>
      <c r="J41" s="154"/>
      <c r="L41" s="83"/>
    </row>
    <row r="42" spans="1:12" ht="19.5" customHeight="1" x14ac:dyDescent="0.25">
      <c r="A42" s="178" t="s">
        <v>60</v>
      </c>
      <c r="B42" s="179"/>
      <c r="C42" s="179"/>
      <c r="D42" s="180"/>
      <c r="E42" s="47" t="s">
        <v>99</v>
      </c>
      <c r="F42" s="48"/>
      <c r="G42" s="48"/>
      <c r="H42" s="48"/>
      <c r="I42" s="48"/>
      <c r="J42" s="49"/>
      <c r="L42" s="83"/>
    </row>
    <row r="43" spans="1:12" ht="19.5" customHeight="1" x14ac:dyDescent="0.25">
      <c r="A43" s="181"/>
      <c r="B43" s="182"/>
      <c r="C43" s="182"/>
      <c r="D43" s="183"/>
      <c r="E43" s="50"/>
      <c r="F43" s="41"/>
      <c r="G43" s="41"/>
      <c r="H43" s="41"/>
      <c r="I43" s="41"/>
      <c r="J43" s="51"/>
    </row>
    <row r="44" spans="1:12" ht="15.75" customHeight="1" x14ac:dyDescent="0.25">
      <c r="A44" s="184" t="s">
        <v>61</v>
      </c>
      <c r="B44" s="185"/>
      <c r="C44" s="185"/>
      <c r="D44" s="186"/>
      <c r="E44" s="50"/>
      <c r="F44" s="41"/>
      <c r="G44" s="41"/>
      <c r="H44" s="41"/>
      <c r="I44" s="41"/>
      <c r="J44" s="51"/>
    </row>
    <row r="45" spans="1:12" ht="18.75" customHeight="1" thickBot="1" x14ac:dyDescent="0.3">
      <c r="A45" s="187"/>
      <c r="B45" s="188"/>
      <c r="C45" s="188"/>
      <c r="D45" s="189"/>
      <c r="E45" s="63" t="s">
        <v>62</v>
      </c>
      <c r="F45" s="46"/>
      <c r="G45" s="46"/>
      <c r="H45" s="46"/>
      <c r="I45" s="46"/>
      <c r="J45" s="53"/>
    </row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</sheetData>
  <mergeCells count="67">
    <mergeCell ref="O30:P30"/>
    <mergeCell ref="A1:J2"/>
    <mergeCell ref="E3:G3"/>
    <mergeCell ref="H3:J3"/>
    <mergeCell ref="E4:G4"/>
    <mergeCell ref="H4:J4"/>
    <mergeCell ref="E5:G5"/>
    <mergeCell ref="H5:J5"/>
    <mergeCell ref="E6:G6"/>
    <mergeCell ref="H6:J6"/>
    <mergeCell ref="E10:G10"/>
    <mergeCell ref="H10:J10"/>
    <mergeCell ref="E7:G7"/>
    <mergeCell ref="H7:J7"/>
    <mergeCell ref="E8:G8"/>
    <mergeCell ref="H8:J8"/>
    <mergeCell ref="E9:G9"/>
    <mergeCell ref="H9:J9"/>
    <mergeCell ref="E11:G11"/>
    <mergeCell ref="H11:J11"/>
    <mergeCell ref="A24:B24"/>
    <mergeCell ref="C24:D24"/>
    <mergeCell ref="E24:G24"/>
    <mergeCell ref="H24:J24"/>
    <mergeCell ref="A15:D20"/>
    <mergeCell ref="A21:B21"/>
    <mergeCell ref="C21:D21"/>
    <mergeCell ref="E21:G21"/>
    <mergeCell ref="H21:J21"/>
    <mergeCell ref="A22:B22"/>
    <mergeCell ref="C22:D23"/>
    <mergeCell ref="E22:G23"/>
    <mergeCell ref="E12:G13"/>
    <mergeCell ref="H12:J13"/>
    <mergeCell ref="I26:J26"/>
    <mergeCell ref="F27:G27"/>
    <mergeCell ref="I27:J27"/>
    <mergeCell ref="H22:J23"/>
    <mergeCell ref="A23:B23"/>
    <mergeCell ref="A25:B25"/>
    <mergeCell ref="C25:D25"/>
    <mergeCell ref="E25:G25"/>
    <mergeCell ref="H25:J25"/>
    <mergeCell ref="A42:D43"/>
    <mergeCell ref="A44:D45"/>
    <mergeCell ref="A31:B31"/>
    <mergeCell ref="I35:J36"/>
    <mergeCell ref="A36:H36"/>
    <mergeCell ref="A34:B34"/>
    <mergeCell ref="A32:B32"/>
    <mergeCell ref="A33:B33"/>
    <mergeCell ref="E14:J14"/>
    <mergeCell ref="E15:J20"/>
    <mergeCell ref="A5:D13"/>
    <mergeCell ref="A37:J37"/>
    <mergeCell ref="A41:D41"/>
    <mergeCell ref="E41:J41"/>
    <mergeCell ref="B28:D28"/>
    <mergeCell ref="F28:G28"/>
    <mergeCell ref="I28:J28"/>
    <mergeCell ref="B29:D29"/>
    <mergeCell ref="F29:G29"/>
    <mergeCell ref="I29:J29"/>
    <mergeCell ref="A26:A27"/>
    <mergeCell ref="B26:D27"/>
    <mergeCell ref="E26:E27"/>
    <mergeCell ref="F26:G26"/>
  </mergeCells>
  <conditionalFormatting sqref="A36:A37">
    <cfRule type="containsBlanks" dxfId="0" priority="1">
      <formula>LEN(TRIM(A36))=0</formula>
    </cfRule>
  </conditionalFormatting>
  <pageMargins left="0.7" right="0.7" top="0.75" bottom="0.75" header="0.3" footer="0.3"/>
  <pageSetup scale="9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95"/>
  <sheetViews>
    <sheetView showGridLines="0" topLeftCell="A16" workbookViewId="0">
      <selection activeCell="O8" sqref="O8"/>
    </sheetView>
  </sheetViews>
  <sheetFormatPr defaultColWidth="14.42578125" defaultRowHeight="15" customHeight="1" x14ac:dyDescent="0.25"/>
  <cols>
    <col min="1" max="2" width="8.7109375" customWidth="1"/>
    <col min="3" max="3" width="7.140625" customWidth="1"/>
    <col min="4" max="4" width="8.7109375" customWidth="1"/>
    <col min="5" max="5" width="7" customWidth="1"/>
    <col min="6" max="6" width="10" customWidth="1"/>
    <col min="7" max="7" width="8.7109375" customWidth="1"/>
    <col min="8" max="8" width="12.85546875" customWidth="1"/>
    <col min="9" max="9" width="8.7109375" customWidth="1"/>
    <col min="10" max="10" width="15.42578125" customWidth="1"/>
    <col min="11" max="26" width="8.7109375" customWidth="1"/>
  </cols>
  <sheetData>
    <row r="1" spans="1:10" ht="21" x14ac:dyDescent="0.35">
      <c r="A1" s="298" t="s">
        <v>63</v>
      </c>
      <c r="B1" s="299"/>
      <c r="C1" s="299"/>
      <c r="D1" s="299"/>
      <c r="E1" s="299"/>
      <c r="F1" s="299"/>
      <c r="G1" s="299"/>
      <c r="H1" s="299"/>
      <c r="I1" s="299"/>
      <c r="J1" s="299"/>
    </row>
    <row r="2" spans="1:10" x14ac:dyDescent="0.25">
      <c r="A2" s="300" t="s">
        <v>64</v>
      </c>
      <c r="B2" s="209"/>
      <c r="C2" s="209"/>
      <c r="D2" s="209"/>
      <c r="E2" s="209"/>
      <c r="F2" s="236"/>
      <c r="G2" s="235" t="s">
        <v>35</v>
      </c>
      <c r="H2" s="236"/>
      <c r="I2" s="301" t="s">
        <v>36</v>
      </c>
      <c r="J2" s="210"/>
    </row>
    <row r="3" spans="1:10" ht="16.5" thickBot="1" x14ac:dyDescent="0.3">
      <c r="A3" s="302" t="s">
        <v>97</v>
      </c>
      <c r="B3" s="173"/>
      <c r="C3" s="173"/>
      <c r="D3" s="173"/>
      <c r="E3" s="173"/>
      <c r="F3" s="174"/>
      <c r="G3" s="237" t="str">
        <f>'input data'!B3</f>
        <v>BK001/26-27</v>
      </c>
      <c r="H3" s="206"/>
      <c r="I3" s="238">
        <f>'input data'!B4</f>
        <v>46120</v>
      </c>
      <c r="J3" s="240"/>
    </row>
    <row r="4" spans="1:10" x14ac:dyDescent="0.25">
      <c r="A4" s="214" t="s">
        <v>131</v>
      </c>
      <c r="B4" s="276"/>
      <c r="C4" s="276"/>
      <c r="D4" s="276"/>
      <c r="E4" s="276"/>
      <c r="F4" s="277"/>
      <c r="G4" s="281" t="s">
        <v>37</v>
      </c>
      <c r="H4" s="170"/>
      <c r="I4" s="170"/>
      <c r="J4" s="198"/>
    </row>
    <row r="5" spans="1:10" ht="15.75" thickBot="1" x14ac:dyDescent="0.3">
      <c r="A5" s="214"/>
      <c r="B5" s="276"/>
      <c r="C5" s="276"/>
      <c r="D5" s="276"/>
      <c r="E5" s="276"/>
      <c r="F5" s="277"/>
      <c r="G5" s="207" t="str">
        <f>'input data'!B6</f>
        <v>AD2403260117948</v>
      </c>
      <c r="H5" s="202"/>
      <c r="I5" s="202"/>
      <c r="J5" s="203"/>
    </row>
    <row r="6" spans="1:10" ht="15.75" thickBot="1" x14ac:dyDescent="0.3">
      <c r="A6" s="214"/>
      <c r="B6" s="276"/>
      <c r="C6" s="276"/>
      <c r="D6" s="276"/>
      <c r="E6" s="276"/>
      <c r="F6" s="277"/>
      <c r="G6" s="65"/>
      <c r="H6" s="66"/>
      <c r="I6" s="66"/>
      <c r="J6" s="67"/>
    </row>
    <row r="7" spans="1:10" x14ac:dyDescent="0.25">
      <c r="A7" s="214"/>
      <c r="B7" s="276"/>
      <c r="C7" s="276"/>
      <c r="D7" s="276"/>
      <c r="E7" s="276"/>
      <c r="F7" s="277"/>
      <c r="G7" s="23" t="s">
        <v>65</v>
      </c>
      <c r="H7" s="15"/>
      <c r="I7" s="15"/>
      <c r="J7" s="68"/>
    </row>
    <row r="8" spans="1:10" ht="15.75" x14ac:dyDescent="0.25">
      <c r="A8" s="214"/>
      <c r="B8" s="276"/>
      <c r="C8" s="276"/>
      <c r="D8" s="276"/>
      <c r="E8" s="276"/>
      <c r="F8" s="277"/>
      <c r="G8" s="69" t="s">
        <v>101</v>
      </c>
      <c r="H8" s="70"/>
      <c r="I8" s="70"/>
      <c r="J8" s="71"/>
    </row>
    <row r="9" spans="1:10" ht="15.75" x14ac:dyDescent="0.25">
      <c r="A9" s="214"/>
      <c r="B9" s="276"/>
      <c r="C9" s="276"/>
      <c r="D9" s="276"/>
      <c r="E9" s="276"/>
      <c r="F9" s="277"/>
      <c r="G9" s="69" t="s">
        <v>121</v>
      </c>
      <c r="H9" s="70"/>
      <c r="I9" s="70"/>
      <c r="J9" s="71"/>
    </row>
    <row r="10" spans="1:10" ht="15.75" thickBot="1" x14ac:dyDescent="0.3">
      <c r="A10" s="278"/>
      <c r="B10" s="279"/>
      <c r="C10" s="279"/>
      <c r="D10" s="279"/>
      <c r="E10" s="279"/>
      <c r="F10" s="280"/>
      <c r="G10" s="50"/>
      <c r="H10" s="41"/>
      <c r="I10" s="41"/>
      <c r="J10" s="51"/>
    </row>
    <row r="11" spans="1:10" x14ac:dyDescent="0.25">
      <c r="A11" s="282" t="s">
        <v>42</v>
      </c>
      <c r="B11" s="170"/>
      <c r="C11" s="170"/>
      <c r="D11" s="170"/>
      <c r="E11" s="170"/>
      <c r="F11" s="15"/>
      <c r="G11" s="89" t="s">
        <v>45</v>
      </c>
      <c r="H11" s="48"/>
      <c r="I11" s="48"/>
      <c r="J11" s="49"/>
    </row>
    <row r="12" spans="1:10" ht="15" customHeight="1" x14ac:dyDescent="0.25">
      <c r="A12" s="258" t="str">
        <f>'input data'!B7</f>
        <v>GRUPO MARMOLERO SM S. DE R.L. DE C.V.
Add: ALVARO OBREGON 43, 
STA.MA.TEQUEPEXPAN, TLAQUEPAQUE, MEXICO - 
45601
RFC:  GMS170908L86</v>
      </c>
      <c r="B12" s="259"/>
      <c r="C12" s="259"/>
      <c r="D12" s="259"/>
      <c r="E12" s="259"/>
      <c r="F12" s="259"/>
      <c r="G12" s="258" t="str">
        <f>'input data'!B8</f>
        <v>GRUPO MARMOLERO SM S. DE R.L. DE C.V.
Add: ALVARO OBREGON 43, 
STA.MA.TEQUEPEXPAN, TLAQUEPAQUE, MEXICO - 
45601
RFC:  GMS170908L86</v>
      </c>
      <c r="H12" s="259"/>
      <c r="I12" s="259"/>
      <c r="J12" s="260"/>
    </row>
    <row r="13" spans="1:10" ht="120" customHeight="1" thickBot="1" x14ac:dyDescent="0.3">
      <c r="A13" s="264"/>
      <c r="B13" s="265"/>
      <c r="C13" s="265"/>
      <c r="D13" s="259"/>
      <c r="E13" s="259"/>
      <c r="F13" s="259"/>
      <c r="G13" s="261"/>
      <c r="H13" s="262"/>
      <c r="I13" s="262"/>
      <c r="J13" s="263"/>
    </row>
    <row r="14" spans="1:10" ht="22.5" customHeight="1" x14ac:dyDescent="0.25">
      <c r="A14" s="266" t="s">
        <v>68</v>
      </c>
      <c r="B14" s="267"/>
      <c r="C14" s="267"/>
      <c r="D14" s="248" t="s">
        <v>69</v>
      </c>
      <c r="E14" s="269"/>
      <c r="F14" s="270"/>
      <c r="G14" s="248" t="s">
        <v>66</v>
      </c>
      <c r="H14" s="249"/>
      <c r="I14" s="250" t="s">
        <v>67</v>
      </c>
      <c r="J14" s="251"/>
    </row>
    <row r="15" spans="1:10" ht="15" customHeight="1" thickBot="1" x14ac:dyDescent="0.3">
      <c r="A15" s="205"/>
      <c r="B15" s="268"/>
      <c r="C15" s="268"/>
      <c r="D15" s="271" t="str">
        <f>'input data'!B19</f>
        <v>CHENNAI</v>
      </c>
      <c r="E15" s="272"/>
      <c r="F15" s="273"/>
      <c r="G15" s="252" t="s">
        <v>49</v>
      </c>
      <c r="H15" s="253"/>
      <c r="I15" s="254" t="str">
        <f>'input data'!B23</f>
        <v>MEXICO</v>
      </c>
      <c r="J15" s="255"/>
    </row>
    <row r="16" spans="1:10" ht="16.5" customHeight="1" x14ac:dyDescent="0.25">
      <c r="A16" s="266" t="s">
        <v>70</v>
      </c>
      <c r="B16" s="267"/>
      <c r="C16" s="267"/>
      <c r="D16" s="274" t="s">
        <v>71</v>
      </c>
      <c r="E16" s="275"/>
      <c r="F16" s="275"/>
      <c r="G16" s="256" t="s">
        <v>133</v>
      </c>
      <c r="H16" s="257"/>
      <c r="I16" s="257"/>
      <c r="J16" s="251"/>
    </row>
    <row r="17" spans="1:10" ht="15.75" customHeight="1" thickBot="1" x14ac:dyDescent="0.3">
      <c r="A17" s="190"/>
      <c r="B17" s="194"/>
      <c r="C17" s="194"/>
      <c r="D17" s="204" t="str">
        <f>'input data'!B19</f>
        <v>CHENNAI</v>
      </c>
      <c r="E17" s="283"/>
      <c r="F17" s="283"/>
      <c r="G17" s="204" t="str">
        <f>'input data'!B17</f>
        <v>FOB</v>
      </c>
      <c r="H17" s="283"/>
      <c r="I17" s="283"/>
      <c r="J17" s="284"/>
    </row>
    <row r="18" spans="1:10" ht="15.75" customHeight="1" x14ac:dyDescent="0.25">
      <c r="A18" s="285" t="s">
        <v>27</v>
      </c>
      <c r="B18" s="286"/>
      <c r="C18" s="286"/>
      <c r="D18" s="285" t="s">
        <v>28</v>
      </c>
      <c r="E18" s="286"/>
      <c r="F18" s="287"/>
      <c r="G18" s="269" t="s">
        <v>72</v>
      </c>
      <c r="H18" s="269"/>
      <c r="I18" s="269"/>
      <c r="J18" s="270"/>
    </row>
    <row r="19" spans="1:10" ht="15.75" customHeight="1" x14ac:dyDescent="0.25">
      <c r="A19" s="288" t="str">
        <f>'input data'!B21</f>
        <v>MANZANILLO</v>
      </c>
      <c r="B19" s="289"/>
      <c r="C19" s="289"/>
      <c r="D19" s="288" t="str">
        <f>'input data'!B22</f>
        <v>MANZANILLO</v>
      </c>
      <c r="E19" s="289"/>
      <c r="F19" s="292"/>
      <c r="G19" s="294" t="str">
        <f>'input data'!B18</f>
        <v>30% Advance and Remaining Against BL within 7 days</v>
      </c>
      <c r="H19" s="294"/>
      <c r="I19" s="294"/>
      <c r="J19" s="295"/>
    </row>
    <row r="20" spans="1:10" ht="15.75" customHeight="1" thickBot="1" x14ac:dyDescent="0.3">
      <c r="A20" s="290"/>
      <c r="B20" s="291"/>
      <c r="C20" s="291"/>
      <c r="D20" s="290"/>
      <c r="E20" s="291"/>
      <c r="F20" s="293"/>
      <c r="G20" s="296"/>
      <c r="H20" s="296"/>
      <c r="I20" s="296"/>
      <c r="J20" s="297"/>
    </row>
    <row r="21" spans="1:10" ht="15.75" customHeight="1" thickBot="1" x14ac:dyDescent="0.3">
      <c r="A21" s="90"/>
      <c r="B21" s="42"/>
      <c r="C21" s="42"/>
      <c r="D21" s="42"/>
      <c r="E21" s="42"/>
      <c r="F21" s="42"/>
      <c r="G21" s="27"/>
      <c r="H21" s="27"/>
      <c r="I21" s="27"/>
      <c r="J21" s="72"/>
    </row>
    <row r="22" spans="1:10" ht="15.75" customHeight="1" thickBot="1" x14ac:dyDescent="0.3">
      <c r="A22" s="73" t="s">
        <v>51</v>
      </c>
      <c r="B22" s="207" t="s">
        <v>73</v>
      </c>
      <c r="C22" s="206"/>
      <c r="D22" s="207" t="s">
        <v>52</v>
      </c>
      <c r="E22" s="202"/>
      <c r="F22" s="202"/>
      <c r="G22" s="74"/>
      <c r="H22" s="75"/>
      <c r="I22" s="207" t="s">
        <v>56</v>
      </c>
      <c r="J22" s="203"/>
    </row>
    <row r="23" spans="1:10" ht="15.75" customHeight="1" thickBot="1" x14ac:dyDescent="0.3">
      <c r="A23" s="62">
        <v>1</v>
      </c>
      <c r="B23" s="241">
        <f>'Invoice rockstone'!E28</f>
        <v>68022390</v>
      </c>
      <c r="C23" s="242"/>
      <c r="D23" s="243" t="str">
        <f>'Invoice rockstone'!B28</f>
        <v>Polished Granite Slabs</v>
      </c>
      <c r="E23" s="244"/>
      <c r="F23" s="244"/>
      <c r="G23" s="244"/>
      <c r="H23" s="242"/>
      <c r="I23" s="245">
        <f>'Invoice rockstone'!F28</f>
        <v>1347.12</v>
      </c>
      <c r="J23" s="246"/>
    </row>
    <row r="24" spans="1:10" s="52" customFormat="1" ht="15.75" customHeight="1" thickBot="1" x14ac:dyDescent="0.3">
      <c r="A24" s="62">
        <v>2</v>
      </c>
      <c r="B24" s="241">
        <f>'Invoice rockstone'!E29</f>
        <v>68022390</v>
      </c>
      <c r="C24" s="242"/>
      <c r="D24" s="243" t="str">
        <f>'Invoice rockstone'!B29</f>
        <v>Cut To Size Polished Slabs</v>
      </c>
      <c r="E24" s="244"/>
      <c r="F24" s="244"/>
      <c r="G24" s="244"/>
      <c r="H24" s="242"/>
      <c r="I24" s="245">
        <f>'Invoice rockstone'!F29</f>
        <v>468</v>
      </c>
      <c r="J24" s="246"/>
    </row>
    <row r="25" spans="1:10" ht="15.75" customHeight="1" thickBot="1" x14ac:dyDescent="0.3">
      <c r="A25" s="76" t="s">
        <v>74</v>
      </c>
      <c r="B25" s="27"/>
      <c r="C25" s="27"/>
      <c r="D25" s="27"/>
      <c r="E25" s="27"/>
      <c r="F25" s="27"/>
      <c r="G25" s="27"/>
      <c r="H25" s="27"/>
      <c r="I25" s="247">
        <f>SUM(I23:J24)</f>
        <v>1815.12</v>
      </c>
      <c r="J25" s="246"/>
    </row>
    <row r="26" spans="1:10" ht="15.75" customHeight="1" x14ac:dyDescent="0.25">
      <c r="A26" s="45"/>
      <c r="B26" s="41"/>
      <c r="C26" s="41"/>
      <c r="D26" s="41"/>
      <c r="E26" s="41"/>
      <c r="F26" s="41"/>
      <c r="G26" s="41"/>
      <c r="H26" s="41"/>
      <c r="I26" s="66"/>
      <c r="J26" s="67"/>
    </row>
    <row r="27" spans="1:10" ht="15.75" customHeight="1" x14ac:dyDescent="0.25">
      <c r="A27" s="204" t="s">
        <v>75</v>
      </c>
      <c r="B27" s="173"/>
      <c r="C27" s="66" t="s">
        <v>31</v>
      </c>
      <c r="D27" s="283" t="s">
        <v>170</v>
      </c>
      <c r="E27" s="283"/>
      <c r="F27" s="283"/>
      <c r="G27" s="114" t="s">
        <v>171</v>
      </c>
      <c r="H27" s="41"/>
      <c r="I27" s="66"/>
      <c r="J27" s="67"/>
    </row>
    <row r="28" spans="1:10" ht="15.75" customHeight="1" x14ac:dyDescent="0.25">
      <c r="A28" s="190" t="str">
        <f>'Invoice rockstone'!A31</f>
        <v>EITU0049513</v>
      </c>
      <c r="B28" s="306"/>
      <c r="C28" s="59">
        <f>'Invoice rockstone'!C31</f>
        <v>70</v>
      </c>
      <c r="D28" s="309">
        <f>'Invoice rockstone'!D31</f>
        <v>27500</v>
      </c>
      <c r="E28" s="309"/>
      <c r="F28" s="309"/>
      <c r="G28" s="113">
        <f>'Invoice rockstone'!E31</f>
        <v>27000</v>
      </c>
      <c r="H28" s="41"/>
      <c r="I28" s="41"/>
      <c r="J28" s="51"/>
    </row>
    <row r="29" spans="1:10" s="115" customFormat="1" ht="15.75" customHeight="1" x14ac:dyDescent="0.25">
      <c r="A29" s="190" t="str">
        <f>'Invoice rockstone'!A32</f>
        <v xml:space="preserve">EISU2298907 </v>
      </c>
      <c r="B29" s="306"/>
      <c r="C29" s="59">
        <f>'Invoice rockstone'!C32</f>
        <v>73</v>
      </c>
      <c r="D29" s="309">
        <f>'Invoice rockstone'!D32</f>
        <v>27500</v>
      </c>
      <c r="E29" s="309"/>
      <c r="F29" s="309"/>
      <c r="G29" s="113">
        <f>'Invoice rockstone'!E32</f>
        <v>27000</v>
      </c>
      <c r="H29" s="41"/>
      <c r="I29" s="41"/>
      <c r="J29" s="51"/>
    </row>
    <row r="30" spans="1:10" s="115" customFormat="1" ht="15.75" customHeight="1" x14ac:dyDescent="0.25">
      <c r="A30" s="190" t="str">
        <f>'Invoice rockstone'!A33</f>
        <v>EMCU6385442</v>
      </c>
      <c r="B30" s="306"/>
      <c r="C30" s="59">
        <f>'Invoice rockstone'!C33</f>
        <v>77</v>
      </c>
      <c r="D30" s="309">
        <f>'Invoice rockstone'!D33</f>
        <v>27500</v>
      </c>
      <c r="E30" s="309"/>
      <c r="F30" s="309"/>
      <c r="G30" s="113">
        <f>'Invoice rockstone'!E33</f>
        <v>27000</v>
      </c>
      <c r="H30" s="41"/>
      <c r="I30" s="41"/>
      <c r="J30" s="51"/>
    </row>
    <row r="31" spans="1:10" ht="15.75" customHeight="1" x14ac:dyDescent="0.25">
      <c r="A31" s="190" t="str">
        <f>'Invoice rockstone'!A34</f>
        <v>TCLU3336208</v>
      </c>
      <c r="B31" s="306"/>
      <c r="C31" s="59">
        <f>'Invoice rockstone'!C34</f>
        <v>650</v>
      </c>
      <c r="D31" s="309">
        <f>'Invoice rockstone'!D34</f>
        <v>27500</v>
      </c>
      <c r="E31" s="309"/>
      <c r="F31" s="309"/>
      <c r="G31" s="113">
        <f>'Invoice rockstone'!E34</f>
        <v>27000</v>
      </c>
      <c r="H31" s="78"/>
      <c r="I31" s="78"/>
      <c r="J31" s="79"/>
    </row>
    <row r="32" spans="1:10" ht="15.75" customHeight="1" x14ac:dyDescent="0.25">
      <c r="A32" s="77" t="s">
        <v>76</v>
      </c>
      <c r="B32" s="78"/>
      <c r="C32" s="78" t="str">
        <f>'input data'!B15</f>
        <v>Wooden Crate Packing</v>
      </c>
      <c r="D32" s="78"/>
      <c r="E32" s="78"/>
      <c r="F32" s="78"/>
      <c r="G32" s="78"/>
      <c r="H32" s="78"/>
      <c r="I32" s="78"/>
      <c r="J32" s="79"/>
    </row>
    <row r="33" spans="1:10" ht="15.75" customHeight="1" x14ac:dyDescent="0.25">
      <c r="A33" s="77" t="s">
        <v>177</v>
      </c>
      <c r="B33" s="78"/>
      <c r="C33" s="78"/>
      <c r="D33" s="78"/>
      <c r="E33" s="78"/>
      <c r="F33" s="78"/>
      <c r="G33" s="78"/>
      <c r="H33" s="78"/>
      <c r="I33" s="78"/>
      <c r="J33" s="79"/>
    </row>
    <row r="34" spans="1:10" ht="15.75" customHeight="1" x14ac:dyDescent="0.25">
      <c r="A34" s="80"/>
      <c r="B34" s="81"/>
      <c r="C34" s="81"/>
      <c r="D34" s="81"/>
      <c r="E34" s="81"/>
      <c r="F34" s="81"/>
      <c r="G34" s="81"/>
      <c r="H34" s="81"/>
      <c r="I34" s="81"/>
      <c r="J34" s="82"/>
    </row>
    <row r="35" spans="1:10" ht="15.75" customHeight="1" x14ac:dyDescent="0.25">
      <c r="A35" s="307" t="s">
        <v>77</v>
      </c>
      <c r="B35" s="170"/>
      <c r="C35" s="170"/>
      <c r="D35" s="170"/>
      <c r="E35" s="170"/>
      <c r="F35" s="171"/>
      <c r="G35" s="308" t="s">
        <v>98</v>
      </c>
      <c r="H35" s="170"/>
      <c r="I35" s="170"/>
      <c r="J35" s="198"/>
    </row>
    <row r="36" spans="1:10" ht="15.75" customHeight="1" x14ac:dyDescent="0.25">
      <c r="A36" s="184" t="s">
        <v>132</v>
      </c>
      <c r="B36" s="185"/>
      <c r="C36" s="185"/>
      <c r="D36" s="185"/>
      <c r="E36" s="185"/>
      <c r="F36" s="186"/>
      <c r="G36" s="50"/>
      <c r="H36" s="41"/>
      <c r="I36" s="41"/>
      <c r="J36" s="51"/>
    </row>
    <row r="37" spans="1:10" ht="15.75" customHeight="1" x14ac:dyDescent="0.25">
      <c r="A37" s="184"/>
      <c r="B37" s="185"/>
      <c r="C37" s="185"/>
      <c r="D37" s="185"/>
      <c r="E37" s="185"/>
      <c r="F37" s="186"/>
      <c r="G37" s="50"/>
      <c r="H37" s="41"/>
      <c r="I37" s="41"/>
      <c r="J37" s="51"/>
    </row>
    <row r="38" spans="1:10" ht="15.75" customHeight="1" thickBot="1" x14ac:dyDescent="0.3">
      <c r="A38" s="303" t="s">
        <v>78</v>
      </c>
      <c r="B38" s="223"/>
      <c r="C38" s="223"/>
      <c r="D38" s="223"/>
      <c r="E38" s="223"/>
      <c r="F38" s="304"/>
      <c r="G38" s="305" t="s">
        <v>79</v>
      </c>
      <c r="H38" s="223"/>
      <c r="I38" s="223"/>
      <c r="J38" s="224"/>
    </row>
    <row r="39" spans="1:10" ht="15.75" customHeight="1" x14ac:dyDescent="0.25"/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58">
    <mergeCell ref="A38:F38"/>
    <mergeCell ref="G38:J38"/>
    <mergeCell ref="A27:B27"/>
    <mergeCell ref="A28:B28"/>
    <mergeCell ref="A35:F35"/>
    <mergeCell ref="G35:J35"/>
    <mergeCell ref="A36:F37"/>
    <mergeCell ref="A31:B31"/>
    <mergeCell ref="A29:B29"/>
    <mergeCell ref="A30:B30"/>
    <mergeCell ref="D27:F27"/>
    <mergeCell ref="D28:F28"/>
    <mergeCell ref="D29:F29"/>
    <mergeCell ref="D30:F30"/>
    <mergeCell ref="D31:F31"/>
    <mergeCell ref="A1:J1"/>
    <mergeCell ref="A2:F2"/>
    <mergeCell ref="G2:H2"/>
    <mergeCell ref="I2:J2"/>
    <mergeCell ref="A3:F3"/>
    <mergeCell ref="G3:H3"/>
    <mergeCell ref="I3:J3"/>
    <mergeCell ref="A4:F10"/>
    <mergeCell ref="G4:J4"/>
    <mergeCell ref="B22:C22"/>
    <mergeCell ref="D22:F22"/>
    <mergeCell ref="I22:J22"/>
    <mergeCell ref="G5:J5"/>
    <mergeCell ref="A11:E11"/>
    <mergeCell ref="A17:C17"/>
    <mergeCell ref="D17:F17"/>
    <mergeCell ref="G17:J17"/>
    <mergeCell ref="A18:C18"/>
    <mergeCell ref="D18:F18"/>
    <mergeCell ref="G18:J18"/>
    <mergeCell ref="A19:C20"/>
    <mergeCell ref="D19:F20"/>
    <mergeCell ref="G19:J20"/>
    <mergeCell ref="G12:J13"/>
    <mergeCell ref="A12:F13"/>
    <mergeCell ref="A14:C14"/>
    <mergeCell ref="A15:C15"/>
    <mergeCell ref="A16:C16"/>
    <mergeCell ref="D14:F14"/>
    <mergeCell ref="D15:F15"/>
    <mergeCell ref="D16:F16"/>
    <mergeCell ref="G14:H14"/>
    <mergeCell ref="I14:J14"/>
    <mergeCell ref="G15:H15"/>
    <mergeCell ref="I15:J15"/>
    <mergeCell ref="G16:J16"/>
    <mergeCell ref="B23:C23"/>
    <mergeCell ref="D23:H23"/>
    <mergeCell ref="B24:C24"/>
    <mergeCell ref="I23:J23"/>
    <mergeCell ref="I25:J25"/>
    <mergeCell ref="D24:H24"/>
    <mergeCell ref="I24:J24"/>
  </mergeCells>
  <pageMargins left="0.25" right="0.25" top="0.75" bottom="0.75" header="0" footer="0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0"/>
  <sheetViews>
    <sheetView topLeftCell="A13" zoomScaleNormal="100" workbookViewId="0">
      <selection activeCell="M19" sqref="M19"/>
    </sheetView>
  </sheetViews>
  <sheetFormatPr defaultColWidth="14.42578125" defaultRowHeight="15" customHeight="1" x14ac:dyDescent="0.25"/>
  <cols>
    <col min="1" max="2" width="8.7109375" customWidth="1"/>
    <col min="3" max="3" width="18.85546875" bestFit="1" customWidth="1"/>
    <col min="4" max="16" width="8.7109375" customWidth="1"/>
    <col min="17" max="17" width="17.42578125" customWidth="1"/>
    <col min="18" max="19" width="10.85546875" bestFit="1" customWidth="1"/>
    <col min="20" max="27" width="8.7109375" customWidth="1"/>
  </cols>
  <sheetData>
    <row r="1" spans="1:25" ht="36" x14ac:dyDescent="0.55000000000000004">
      <c r="A1" s="30"/>
      <c r="B1" s="323" t="s">
        <v>97</v>
      </c>
      <c r="C1" s="324"/>
      <c r="D1" s="324"/>
      <c r="E1" s="324"/>
      <c r="F1" s="324"/>
      <c r="G1" s="324"/>
      <c r="H1" s="324"/>
      <c r="I1" s="324"/>
      <c r="J1" s="324"/>
      <c r="K1" s="325"/>
      <c r="R1" s="329"/>
      <c r="S1" s="299"/>
      <c r="T1" s="299"/>
      <c r="U1" s="299"/>
      <c r="V1" s="299"/>
      <c r="W1" s="315"/>
      <c r="X1" s="299"/>
      <c r="Y1" s="299"/>
    </row>
    <row r="2" spans="1:25" ht="36.75" thickBot="1" x14ac:dyDescent="0.6">
      <c r="A2" s="30"/>
      <c r="B2" s="326"/>
      <c r="C2" s="327"/>
      <c r="D2" s="327"/>
      <c r="E2" s="327"/>
      <c r="F2" s="327"/>
      <c r="G2" s="327"/>
      <c r="H2" s="327"/>
      <c r="I2" s="327"/>
      <c r="J2" s="327"/>
      <c r="K2" s="328"/>
    </row>
    <row r="3" spans="1:25" x14ac:dyDescent="0.25">
      <c r="A3" s="31"/>
      <c r="B3" s="316" t="s">
        <v>115</v>
      </c>
      <c r="C3" s="170"/>
      <c r="D3" s="170"/>
      <c r="E3" s="170"/>
      <c r="F3" s="170"/>
      <c r="G3" s="170"/>
      <c r="H3" s="170"/>
      <c r="I3" s="170"/>
      <c r="J3" s="170"/>
      <c r="K3" s="171"/>
    </row>
    <row r="4" spans="1:25" x14ac:dyDescent="0.25">
      <c r="A4" s="31"/>
      <c r="B4" s="317" t="s">
        <v>116</v>
      </c>
      <c r="C4" s="299"/>
      <c r="D4" s="299"/>
      <c r="E4" s="299"/>
      <c r="F4" s="299"/>
      <c r="G4" s="299"/>
      <c r="H4" s="299"/>
      <c r="I4" s="299"/>
      <c r="J4" s="299"/>
      <c r="K4" s="318"/>
    </row>
    <row r="5" spans="1:25" x14ac:dyDescent="0.25">
      <c r="A5" s="28"/>
      <c r="B5" s="319" t="s">
        <v>117</v>
      </c>
      <c r="C5" s="320"/>
      <c r="D5" s="320"/>
      <c r="E5" s="320"/>
      <c r="F5" s="320"/>
      <c r="G5" s="320"/>
      <c r="H5" s="320"/>
      <c r="I5" s="320"/>
      <c r="J5" s="320"/>
      <c r="K5" s="321"/>
    </row>
    <row r="6" spans="1:25" x14ac:dyDescent="0.25">
      <c r="A6" s="4"/>
      <c r="B6" s="2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32"/>
      <c r="B7" s="322" t="s">
        <v>123</v>
      </c>
      <c r="C7" s="299"/>
      <c r="D7" s="299"/>
      <c r="E7" s="299"/>
      <c r="F7" s="299"/>
      <c r="G7" s="299"/>
      <c r="H7" s="299"/>
      <c r="I7" s="299"/>
      <c r="J7" s="299"/>
      <c r="K7" s="318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80</v>
      </c>
      <c r="C9" s="39">
        <v>46118</v>
      </c>
      <c r="D9" s="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81</v>
      </c>
      <c r="C10" s="33" t="s">
        <v>162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82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14"/>
      <c r="B13" s="310" t="s">
        <v>161</v>
      </c>
      <c r="C13" s="299"/>
      <c r="D13" s="299"/>
      <c r="E13" s="299"/>
      <c r="F13" s="299"/>
      <c r="G13" s="299"/>
      <c r="H13" s="4"/>
      <c r="I13" s="4"/>
      <c r="J13" s="4"/>
      <c r="K13" s="18"/>
    </row>
    <row r="14" spans="1:25" x14ac:dyDescent="0.25">
      <c r="A14" s="34"/>
      <c r="B14" s="311" t="s">
        <v>163</v>
      </c>
      <c r="C14" s="299"/>
      <c r="D14" s="299"/>
      <c r="E14" s="299"/>
      <c r="F14" s="299"/>
      <c r="G14" s="299"/>
      <c r="H14" s="4"/>
      <c r="I14" s="4"/>
      <c r="J14" s="4"/>
      <c r="K14" s="18"/>
    </row>
    <row r="15" spans="1:25" ht="49.5" customHeight="1" x14ac:dyDescent="0.25">
      <c r="A15" s="34"/>
      <c r="B15" s="312"/>
      <c r="C15" s="299"/>
      <c r="D15" s="299"/>
      <c r="E15" s="299"/>
      <c r="F15" s="299"/>
      <c r="G15" s="299"/>
      <c r="H15" s="4"/>
      <c r="I15" s="4"/>
      <c r="J15" s="4"/>
      <c r="K15" s="18"/>
    </row>
    <row r="16" spans="1:25" x14ac:dyDescent="0.25">
      <c r="A16" s="4"/>
      <c r="B16" s="17" t="s">
        <v>83</v>
      </c>
      <c r="C16" s="4"/>
      <c r="D16" s="4"/>
      <c r="E16" s="4"/>
      <c r="F16" s="4"/>
      <c r="G16" s="4"/>
      <c r="H16" s="4"/>
      <c r="I16" s="4"/>
      <c r="J16" s="4"/>
      <c r="K16" s="18"/>
    </row>
    <row r="17" spans="1:22" ht="15.75" thickBot="1" x14ac:dyDescent="0.3">
      <c r="A17" s="4"/>
      <c r="B17" s="21"/>
      <c r="C17" s="22"/>
      <c r="D17" s="22"/>
      <c r="E17" s="41"/>
      <c r="F17" s="22"/>
      <c r="G17" s="22"/>
      <c r="H17" s="22"/>
      <c r="I17" s="22"/>
      <c r="J17" s="22"/>
      <c r="K17" s="20"/>
    </row>
    <row r="18" spans="1:22" ht="15.75" thickBot="1" x14ac:dyDescent="0.3">
      <c r="A18" s="29"/>
      <c r="B18" s="314" t="s">
        <v>84</v>
      </c>
      <c r="C18" s="313"/>
      <c r="D18" s="313"/>
      <c r="E18" s="119" t="s">
        <v>164</v>
      </c>
      <c r="F18" s="313" t="s">
        <v>122</v>
      </c>
      <c r="G18" s="242"/>
      <c r="H18" s="314" t="s">
        <v>166</v>
      </c>
      <c r="I18" s="242"/>
      <c r="J18" s="314" t="s">
        <v>85</v>
      </c>
      <c r="K18" s="242"/>
      <c r="N18" t="s">
        <v>145</v>
      </c>
    </row>
    <row r="19" spans="1:22" s="57" customFormat="1" ht="18" customHeight="1" thickBot="1" x14ac:dyDescent="0.3">
      <c r="A19" s="56"/>
      <c r="B19" s="346" t="s">
        <v>165</v>
      </c>
      <c r="C19" s="347"/>
      <c r="D19" s="347"/>
      <c r="E19" s="117">
        <v>70</v>
      </c>
      <c r="F19" s="351">
        <v>4780.5420000000004</v>
      </c>
      <c r="G19" s="352"/>
      <c r="H19" s="351">
        <v>185</v>
      </c>
      <c r="I19" s="352"/>
      <c r="J19" s="353">
        <f>F19*H19</f>
        <v>884400.27</v>
      </c>
      <c r="K19" s="345"/>
      <c r="N19" s="96" t="s">
        <v>141</v>
      </c>
      <c r="O19" s="57">
        <v>2212</v>
      </c>
      <c r="P19" s="57">
        <v>158</v>
      </c>
      <c r="Q19" s="57">
        <f>O19*P19</f>
        <v>349496</v>
      </c>
    </row>
    <row r="20" spans="1:22" s="111" customFormat="1" ht="18" customHeight="1" thickBot="1" x14ac:dyDescent="0.3">
      <c r="A20" s="56"/>
      <c r="B20" s="346" t="s">
        <v>165</v>
      </c>
      <c r="C20" s="347"/>
      <c r="D20" s="347"/>
      <c r="E20" s="117">
        <v>73</v>
      </c>
      <c r="F20" s="351">
        <v>4878.6099999999997</v>
      </c>
      <c r="G20" s="352"/>
      <c r="H20" s="351">
        <v>185</v>
      </c>
      <c r="I20" s="352"/>
      <c r="J20" s="353">
        <f t="shared" ref="J20:J21" si="0">F20*H20</f>
        <v>902542.85</v>
      </c>
      <c r="K20" s="345"/>
      <c r="N20" s="96"/>
    </row>
    <row r="21" spans="1:22" s="111" customFormat="1" ht="18" customHeight="1" thickBot="1" x14ac:dyDescent="0.3">
      <c r="A21" s="56"/>
      <c r="B21" s="346" t="s">
        <v>165</v>
      </c>
      <c r="C21" s="347"/>
      <c r="D21" s="347"/>
      <c r="E21" s="118">
        <v>77</v>
      </c>
      <c r="F21" s="351">
        <v>4841.3010000000004</v>
      </c>
      <c r="G21" s="352"/>
      <c r="H21" s="354">
        <v>185</v>
      </c>
      <c r="I21" s="355"/>
      <c r="J21" s="353">
        <f t="shared" si="0"/>
        <v>895640.68500000006</v>
      </c>
      <c r="K21" s="345"/>
      <c r="N21" s="96"/>
    </row>
    <row r="22" spans="1:22" s="111" customFormat="1" ht="18" customHeight="1" thickBot="1" x14ac:dyDescent="0.3">
      <c r="A22" s="56"/>
      <c r="B22" s="346" t="s">
        <v>74</v>
      </c>
      <c r="C22" s="347"/>
      <c r="D22" s="348"/>
      <c r="E22" s="118">
        <f>SUM(E19:E21)</f>
        <v>220</v>
      </c>
      <c r="F22" s="349">
        <f>SUM(F19:G21)</f>
        <v>14500.453000000001</v>
      </c>
      <c r="G22" s="350"/>
      <c r="H22" s="341" t="s">
        <v>74</v>
      </c>
      <c r="I22" s="342"/>
      <c r="J22" s="344">
        <f>SUM(J19:K21)</f>
        <v>2682583.8050000002</v>
      </c>
      <c r="K22" s="345"/>
      <c r="N22" s="96"/>
    </row>
    <row r="23" spans="1:22" ht="15.75" customHeight="1" thickBot="1" x14ac:dyDescent="0.3">
      <c r="A23" s="28"/>
      <c r="B23" s="116"/>
      <c r="C23" s="112"/>
      <c r="D23" s="112"/>
      <c r="E23" s="112"/>
      <c r="F23" s="315"/>
      <c r="G23" s="194"/>
      <c r="H23" s="341" t="s">
        <v>124</v>
      </c>
      <c r="I23" s="342"/>
      <c r="J23" s="330">
        <f>(J22)*0.001</f>
        <v>2682.5838050000002</v>
      </c>
      <c r="K23" s="331"/>
      <c r="N23" s="96" t="s">
        <v>142</v>
      </c>
      <c r="O23">
        <v>1194</v>
      </c>
      <c r="P23">
        <v>110</v>
      </c>
      <c r="Q23" s="107">
        <f t="shared" ref="Q23:Q25" si="1">O23*P23</f>
        <v>131340</v>
      </c>
    </row>
    <row r="24" spans="1:22" ht="15.75" customHeight="1" thickBot="1" x14ac:dyDescent="0.3">
      <c r="A24" s="3"/>
      <c r="B24" s="340"/>
      <c r="C24" s="320"/>
      <c r="D24" s="320"/>
      <c r="E24" s="320"/>
      <c r="F24" s="22"/>
      <c r="G24" s="42"/>
      <c r="H24" s="341" t="s">
        <v>74</v>
      </c>
      <c r="I24" s="342"/>
      <c r="J24" s="338">
        <f>SUM(J22:K23)</f>
        <v>2685266.3888050001</v>
      </c>
      <c r="K24" s="339"/>
      <c r="N24" s="96" t="s">
        <v>143</v>
      </c>
      <c r="O24">
        <v>1136</v>
      </c>
      <c r="P24">
        <v>100</v>
      </c>
      <c r="Q24" s="107">
        <f t="shared" si="1"/>
        <v>113600</v>
      </c>
    </row>
    <row r="25" spans="1:22" ht="15.75" customHeight="1" thickBot="1" x14ac:dyDescent="0.3">
      <c r="A25" s="28"/>
      <c r="B25" s="333"/>
      <c r="C25" s="299"/>
      <c r="D25" s="299"/>
      <c r="E25" s="299"/>
      <c r="F25" s="4"/>
      <c r="G25" s="4"/>
      <c r="H25" s="334"/>
      <c r="I25" s="299"/>
      <c r="J25" s="315"/>
      <c r="K25" s="318"/>
      <c r="N25" s="108" t="s">
        <v>140</v>
      </c>
      <c r="O25" s="97">
        <v>235</v>
      </c>
      <c r="P25">
        <v>12</v>
      </c>
      <c r="Q25" s="107">
        <f t="shared" si="1"/>
        <v>2820</v>
      </c>
    </row>
    <row r="26" spans="1:22" ht="15.75" customHeight="1" thickBot="1" x14ac:dyDescent="0.3">
      <c r="A26" s="29"/>
      <c r="B26" s="335" t="s">
        <v>86</v>
      </c>
      <c r="C26" s="244"/>
      <c r="D26" s="27"/>
      <c r="E26" s="27"/>
      <c r="F26" s="27"/>
      <c r="G26" s="27"/>
      <c r="H26" s="27"/>
      <c r="I26" s="27"/>
      <c r="J26" s="336">
        <f>J24</f>
        <v>2685266.3888050001</v>
      </c>
      <c r="K26" s="242"/>
      <c r="P26" t="s">
        <v>138</v>
      </c>
      <c r="Q26" s="107">
        <f>SUM(Q19:Q25)</f>
        <v>597256</v>
      </c>
      <c r="R26">
        <v>629093</v>
      </c>
      <c r="S26">
        <f>Q26+R26</f>
        <v>1226349</v>
      </c>
      <c r="T26" t="s">
        <v>144</v>
      </c>
    </row>
    <row r="27" spans="1:22" ht="15.75" customHeight="1" x14ac:dyDescent="0.25">
      <c r="A27" s="4"/>
      <c r="B27" s="17"/>
      <c r="C27" s="4"/>
      <c r="D27" s="4"/>
      <c r="E27" s="4"/>
      <c r="F27" s="4"/>
      <c r="G27" s="4"/>
      <c r="H27" s="4"/>
      <c r="I27" s="4"/>
      <c r="J27" s="4"/>
      <c r="K27" s="18"/>
      <c r="P27" t="s">
        <v>137</v>
      </c>
      <c r="Q27" s="108">
        <f>J19</f>
        <v>884400.27</v>
      </c>
      <c r="R27">
        <v>361536</v>
      </c>
      <c r="S27" s="108">
        <f>Q27+R27</f>
        <v>1245936.27</v>
      </c>
      <c r="T27" s="108">
        <v>500000</v>
      </c>
      <c r="U27" s="108">
        <f>S27-T27</f>
        <v>745936.27</v>
      </c>
    </row>
    <row r="28" spans="1:22" ht="15.75" customHeight="1" x14ac:dyDescent="0.25">
      <c r="A28" s="35"/>
      <c r="B28" s="343" t="s">
        <v>87</v>
      </c>
      <c r="C28" s="299"/>
      <c r="D28" s="4"/>
      <c r="E28" s="4"/>
      <c r="F28" s="4"/>
      <c r="G28" s="4"/>
      <c r="H28" s="4"/>
      <c r="I28" s="4"/>
      <c r="J28" s="4"/>
      <c r="K28" s="18"/>
      <c r="P28" t="s">
        <v>139</v>
      </c>
      <c r="Q28" s="108">
        <f>Q26-Q27</f>
        <v>-287144.27</v>
      </c>
      <c r="R28" s="108">
        <f>R26-R27</f>
        <v>267557</v>
      </c>
      <c r="S28" s="108">
        <f>Q28+R28</f>
        <v>-19587.270000000019</v>
      </c>
      <c r="T28" s="108">
        <v>129000</v>
      </c>
      <c r="U28" s="108">
        <f>S28-T28</f>
        <v>-148587.27000000002</v>
      </c>
    </row>
    <row r="29" spans="1:22" ht="15.75" customHeight="1" x14ac:dyDescent="0.25">
      <c r="A29" s="4"/>
      <c r="B29" s="17" t="s">
        <v>88</v>
      </c>
      <c r="C29" s="4"/>
      <c r="D29" s="1" t="s">
        <v>134</v>
      </c>
      <c r="E29" s="1"/>
      <c r="F29" s="1"/>
      <c r="G29" s="1"/>
      <c r="H29" s="4"/>
      <c r="I29" s="4"/>
      <c r="J29" s="4"/>
      <c r="K29" s="18"/>
      <c r="Q29" s="108"/>
    </row>
    <row r="30" spans="1:22" ht="15.75" customHeight="1" x14ac:dyDescent="0.25">
      <c r="A30" s="4"/>
      <c r="B30" s="17" t="s">
        <v>73</v>
      </c>
      <c r="C30" s="4"/>
      <c r="D30" s="337">
        <v>68022390</v>
      </c>
      <c r="E30" s="337"/>
      <c r="F30" s="337"/>
      <c r="G30" s="4"/>
      <c r="H30" s="4"/>
      <c r="I30" s="4"/>
      <c r="J30" s="4"/>
      <c r="K30" s="18"/>
      <c r="R30" s="108"/>
    </row>
    <row r="31" spans="1:22" ht="15.75" customHeight="1" x14ac:dyDescent="0.25">
      <c r="A31" s="4"/>
      <c r="B31" s="17" t="s">
        <v>89</v>
      </c>
      <c r="C31" s="4"/>
      <c r="D31" s="1" t="s">
        <v>102</v>
      </c>
      <c r="E31" s="4"/>
      <c r="F31" s="4"/>
      <c r="G31" s="4"/>
      <c r="H31" s="4"/>
      <c r="I31" s="4"/>
      <c r="J31" s="4"/>
      <c r="K31" s="18"/>
      <c r="R31" t="s">
        <v>146</v>
      </c>
      <c r="S31" t="s">
        <v>147</v>
      </c>
      <c r="T31" t="s">
        <v>138</v>
      </c>
      <c r="U31" t="s">
        <v>151</v>
      </c>
      <c r="V31" t="s">
        <v>152</v>
      </c>
    </row>
    <row r="32" spans="1:22" ht="15.75" customHeight="1" x14ac:dyDescent="0.25">
      <c r="A32" s="4"/>
      <c r="B32" s="17" t="s">
        <v>167</v>
      </c>
      <c r="C32" s="4"/>
      <c r="D32" s="120" t="s">
        <v>168</v>
      </c>
      <c r="E32" s="4"/>
      <c r="F32" s="4"/>
      <c r="G32" s="4"/>
      <c r="H32" s="4"/>
      <c r="I32" s="4"/>
      <c r="J32" s="4"/>
      <c r="K32" s="18"/>
      <c r="Q32" t="s">
        <v>150</v>
      </c>
      <c r="R32">
        <f>R26</f>
        <v>629093</v>
      </c>
      <c r="S32">
        <f>Q26</f>
        <v>597256</v>
      </c>
      <c r="T32">
        <f>R32+S32</f>
        <v>1226349</v>
      </c>
    </row>
    <row r="33" spans="1:23" ht="15.75" customHeight="1" x14ac:dyDescent="0.25">
      <c r="A33" s="4"/>
      <c r="B33" s="17" t="s">
        <v>90</v>
      </c>
      <c r="C33" s="4"/>
      <c r="D33" s="120" t="s">
        <v>169</v>
      </c>
      <c r="E33" s="4"/>
      <c r="F33" s="4"/>
      <c r="G33" s="4"/>
      <c r="H33" s="4"/>
      <c r="I33" s="4"/>
      <c r="J33" s="4"/>
      <c r="K33" s="18"/>
      <c r="Q33" s="109" t="s">
        <v>148</v>
      </c>
      <c r="R33">
        <f>R27</f>
        <v>361536</v>
      </c>
      <c r="S33">
        <f>R33</f>
        <v>361536</v>
      </c>
      <c r="T33">
        <f>R33+S33</f>
        <v>723072</v>
      </c>
      <c r="U33">
        <v>500000</v>
      </c>
      <c r="V33">
        <f>T33-U33</f>
        <v>223072</v>
      </c>
      <c r="W33" t="s">
        <v>148</v>
      </c>
    </row>
    <row r="34" spans="1:23" ht="15.75" customHeight="1" x14ac:dyDescent="0.25">
      <c r="A34" s="4"/>
      <c r="B34" s="17" t="s">
        <v>91</v>
      </c>
      <c r="C34" s="4"/>
      <c r="D34" s="4"/>
      <c r="E34" s="4"/>
      <c r="F34" s="4"/>
      <c r="G34" s="4"/>
      <c r="H34" s="4"/>
      <c r="I34" s="4"/>
      <c r="J34" s="4"/>
      <c r="K34" s="18"/>
      <c r="Q34" t="s">
        <v>149</v>
      </c>
      <c r="R34">
        <f>R32-R33</f>
        <v>267557</v>
      </c>
      <c r="S34">
        <f>S32-S33</f>
        <v>235720</v>
      </c>
      <c r="T34">
        <f>R34+S34</f>
        <v>503277</v>
      </c>
      <c r="U34">
        <v>129000</v>
      </c>
      <c r="V34">
        <f>T34-U34</f>
        <v>374277</v>
      </c>
      <c r="W34" t="s">
        <v>153</v>
      </c>
    </row>
    <row r="35" spans="1:23" ht="15.75" customHeight="1" x14ac:dyDescent="0.25">
      <c r="A35" s="4"/>
      <c r="B35" s="17" t="s">
        <v>92</v>
      </c>
      <c r="C35" s="4"/>
      <c r="D35" s="1" t="s">
        <v>97</v>
      </c>
      <c r="E35" s="4"/>
      <c r="F35" s="4"/>
      <c r="G35" s="4"/>
      <c r="H35" s="4"/>
      <c r="I35" s="4"/>
      <c r="J35" s="4"/>
      <c r="K35" s="18"/>
    </row>
    <row r="36" spans="1:23" ht="15.75" customHeight="1" x14ac:dyDescent="0.25">
      <c r="A36" s="4"/>
      <c r="B36" s="17"/>
      <c r="C36" s="4"/>
      <c r="D36" s="1" t="s">
        <v>115</v>
      </c>
      <c r="E36" s="4"/>
      <c r="F36" s="4"/>
      <c r="G36" s="4"/>
      <c r="H36" s="4"/>
      <c r="I36" s="4"/>
      <c r="J36" s="4"/>
      <c r="K36" s="18"/>
    </row>
    <row r="37" spans="1:23" ht="15.75" customHeight="1" x14ac:dyDescent="0.25">
      <c r="A37" s="4"/>
      <c r="B37" s="17"/>
      <c r="C37" s="4"/>
      <c r="D37" s="1" t="s">
        <v>118</v>
      </c>
      <c r="E37" s="1"/>
      <c r="F37" s="4"/>
      <c r="G37" s="4"/>
      <c r="H37" s="4"/>
      <c r="I37" s="4"/>
      <c r="J37" s="4"/>
      <c r="K37" s="18"/>
      <c r="P37" s="97"/>
    </row>
    <row r="38" spans="1:23" ht="15.75" customHeight="1" x14ac:dyDescent="0.25">
      <c r="A38" s="36"/>
      <c r="B38" s="332" t="s">
        <v>119</v>
      </c>
      <c r="C38" s="299"/>
      <c r="D38" s="299"/>
      <c r="E38" s="299"/>
      <c r="F38" s="299"/>
      <c r="G38" s="299"/>
      <c r="H38" s="4"/>
      <c r="I38" s="4"/>
      <c r="J38" s="4"/>
      <c r="K38" s="18"/>
      <c r="R38" s="106"/>
    </row>
    <row r="39" spans="1:23" ht="15.75" customHeight="1" x14ac:dyDescent="0.25">
      <c r="A39" s="36"/>
      <c r="B39" s="332" t="s">
        <v>120</v>
      </c>
      <c r="C39" s="299"/>
      <c r="D39" s="299"/>
      <c r="E39" s="299"/>
      <c r="F39" s="299"/>
      <c r="G39" s="299"/>
      <c r="H39" s="4"/>
      <c r="I39" s="4"/>
      <c r="J39" s="4"/>
      <c r="K39" s="18"/>
    </row>
    <row r="40" spans="1:23" ht="15.75" customHeight="1" x14ac:dyDescent="0.25">
      <c r="A40" s="26"/>
      <c r="B40" s="25" t="s">
        <v>93</v>
      </c>
      <c r="C40" s="37" t="str">
        <f>'input data'!B6</f>
        <v>AD2403260117948</v>
      </c>
      <c r="D40" s="26"/>
      <c r="E40" s="26"/>
      <c r="F40" s="26"/>
      <c r="G40" s="26"/>
      <c r="H40" s="4"/>
      <c r="I40" s="4"/>
      <c r="J40" s="4"/>
      <c r="K40" s="18"/>
    </row>
    <row r="41" spans="1:23" ht="15.75" customHeight="1" x14ac:dyDescent="0.25">
      <c r="A41" s="4"/>
      <c r="B41" s="24" t="s">
        <v>98</v>
      </c>
      <c r="C41" s="4"/>
      <c r="D41" s="4"/>
      <c r="E41" s="4"/>
      <c r="F41" s="4"/>
      <c r="G41" s="4"/>
      <c r="H41" s="4"/>
      <c r="I41" s="4"/>
      <c r="J41" s="4"/>
      <c r="K41" s="18"/>
    </row>
    <row r="42" spans="1:23" ht="15.75" customHeight="1" x14ac:dyDescent="0.25">
      <c r="A42" s="4"/>
      <c r="B42" s="17"/>
      <c r="C42" s="4"/>
      <c r="D42" s="4"/>
      <c r="E42" s="4"/>
      <c r="F42" s="4"/>
      <c r="G42" s="4"/>
      <c r="H42" s="4"/>
      <c r="I42" s="4"/>
      <c r="J42" s="4"/>
      <c r="K42" s="18"/>
    </row>
    <row r="43" spans="1:23" ht="15.75" customHeight="1" x14ac:dyDescent="0.25">
      <c r="A43" s="4"/>
      <c r="B43" s="17"/>
      <c r="C43" s="4"/>
      <c r="D43" s="4"/>
      <c r="E43" s="4"/>
      <c r="F43" s="4"/>
      <c r="G43" s="4"/>
      <c r="H43" s="4"/>
      <c r="I43" s="4"/>
      <c r="J43" s="4"/>
      <c r="K43" s="18"/>
      <c r="R43" s="104"/>
    </row>
    <row r="44" spans="1:23" ht="15.75" customHeight="1" thickBot="1" x14ac:dyDescent="0.3">
      <c r="A44" s="4"/>
      <c r="B44" s="21"/>
      <c r="C44" s="22"/>
      <c r="D44" s="22"/>
      <c r="E44" s="22"/>
      <c r="F44" s="22"/>
      <c r="G44" s="22"/>
      <c r="H44" s="22"/>
      <c r="I44" s="22"/>
      <c r="J44" s="22"/>
      <c r="K44" s="20"/>
    </row>
    <row r="45" spans="1:23" ht="15.75" customHeight="1" x14ac:dyDescent="0.25"/>
    <row r="46" spans="1:23" ht="15.75" customHeight="1" x14ac:dyDescent="0.25"/>
    <row r="47" spans="1:23" ht="15.75" customHeight="1" x14ac:dyDescent="0.25"/>
    <row r="48" spans="1:23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44">
    <mergeCell ref="H22:I22"/>
    <mergeCell ref="J22:K22"/>
    <mergeCell ref="B19:D19"/>
    <mergeCell ref="B20:D20"/>
    <mergeCell ref="B21:D21"/>
    <mergeCell ref="B22:D22"/>
    <mergeCell ref="F22:G22"/>
    <mergeCell ref="H20:I20"/>
    <mergeCell ref="J20:K20"/>
    <mergeCell ref="F21:G21"/>
    <mergeCell ref="H21:I21"/>
    <mergeCell ref="J21:K21"/>
    <mergeCell ref="F19:G19"/>
    <mergeCell ref="H19:I19"/>
    <mergeCell ref="J19:K19"/>
    <mergeCell ref="F20:G20"/>
    <mergeCell ref="B39:G39"/>
    <mergeCell ref="B24:E24"/>
    <mergeCell ref="H23:I23"/>
    <mergeCell ref="B28:C28"/>
    <mergeCell ref="H24:I24"/>
    <mergeCell ref="F23:G23"/>
    <mergeCell ref="J23:K23"/>
    <mergeCell ref="B38:G38"/>
    <mergeCell ref="B25:E25"/>
    <mergeCell ref="H25:I25"/>
    <mergeCell ref="J25:K25"/>
    <mergeCell ref="B26:C26"/>
    <mergeCell ref="J26:K26"/>
    <mergeCell ref="D30:F30"/>
    <mergeCell ref="J24:K24"/>
    <mergeCell ref="W1:Y1"/>
    <mergeCell ref="B3:K3"/>
    <mergeCell ref="B4:K4"/>
    <mergeCell ref="B5:K5"/>
    <mergeCell ref="B7:K7"/>
    <mergeCell ref="B1:K2"/>
    <mergeCell ref="R1:V1"/>
    <mergeCell ref="B13:G13"/>
    <mergeCell ref="B14:G15"/>
    <mergeCell ref="F18:G18"/>
    <mergeCell ref="H18:I18"/>
    <mergeCell ref="J18:K18"/>
    <mergeCell ref="B18:D18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997"/>
  <sheetViews>
    <sheetView topLeftCell="A19" zoomScaleNormal="100" workbookViewId="0">
      <selection activeCell="P24" sqref="P24"/>
    </sheetView>
  </sheetViews>
  <sheetFormatPr defaultColWidth="14.42578125" defaultRowHeight="15" customHeight="1" x14ac:dyDescent="0.25"/>
  <cols>
    <col min="1" max="2" width="8.7109375" style="126" customWidth="1"/>
    <col min="3" max="3" width="18.85546875" style="126" bestFit="1" customWidth="1"/>
    <col min="4" max="16" width="8.7109375" style="126" customWidth="1"/>
    <col min="17" max="17" width="17.42578125" style="126" customWidth="1"/>
    <col min="18" max="19" width="10.85546875" style="126" bestFit="1" customWidth="1"/>
    <col min="20" max="27" width="8.7109375" style="126" customWidth="1"/>
    <col min="28" max="16384" width="14.42578125" style="126"/>
  </cols>
  <sheetData>
    <row r="1" spans="1:25" ht="36" x14ac:dyDescent="0.55000000000000004">
      <c r="A1" s="30"/>
      <c r="B1" s="323" t="s">
        <v>97</v>
      </c>
      <c r="C1" s="324"/>
      <c r="D1" s="324"/>
      <c r="E1" s="324"/>
      <c r="F1" s="324"/>
      <c r="G1" s="324"/>
      <c r="H1" s="324"/>
      <c r="I1" s="324"/>
      <c r="J1" s="324"/>
      <c r="K1" s="325"/>
      <c r="R1" s="329"/>
      <c r="S1" s="299"/>
      <c r="T1" s="299"/>
      <c r="U1" s="299"/>
      <c r="V1" s="299"/>
      <c r="W1" s="315"/>
      <c r="X1" s="299"/>
      <c r="Y1" s="299"/>
    </row>
    <row r="2" spans="1:25" ht="36.75" thickBot="1" x14ac:dyDescent="0.6">
      <c r="A2" s="30"/>
      <c r="B2" s="326"/>
      <c r="C2" s="327"/>
      <c r="D2" s="327"/>
      <c r="E2" s="327"/>
      <c r="F2" s="327"/>
      <c r="G2" s="327"/>
      <c r="H2" s="327"/>
      <c r="I2" s="327"/>
      <c r="J2" s="327"/>
      <c r="K2" s="328"/>
    </row>
    <row r="3" spans="1:25" x14ac:dyDescent="0.25">
      <c r="A3" s="31"/>
      <c r="B3" s="316" t="s">
        <v>115</v>
      </c>
      <c r="C3" s="170"/>
      <c r="D3" s="170"/>
      <c r="E3" s="170"/>
      <c r="F3" s="170"/>
      <c r="G3" s="170"/>
      <c r="H3" s="170"/>
      <c r="I3" s="170"/>
      <c r="J3" s="170"/>
      <c r="K3" s="171"/>
    </row>
    <row r="4" spans="1:25" x14ac:dyDescent="0.25">
      <c r="A4" s="31"/>
      <c r="B4" s="317" t="s">
        <v>116</v>
      </c>
      <c r="C4" s="299"/>
      <c r="D4" s="299"/>
      <c r="E4" s="299"/>
      <c r="F4" s="299"/>
      <c r="G4" s="299"/>
      <c r="H4" s="299"/>
      <c r="I4" s="299"/>
      <c r="J4" s="299"/>
      <c r="K4" s="318"/>
    </row>
    <row r="5" spans="1:25" ht="15.75" thickBot="1" x14ac:dyDescent="0.3">
      <c r="A5" s="127"/>
      <c r="B5" s="319" t="s">
        <v>117</v>
      </c>
      <c r="C5" s="320"/>
      <c r="D5" s="320"/>
      <c r="E5" s="320"/>
      <c r="F5" s="320"/>
      <c r="G5" s="320"/>
      <c r="H5" s="320"/>
      <c r="I5" s="320"/>
      <c r="J5" s="320"/>
      <c r="K5" s="321"/>
    </row>
    <row r="6" spans="1:25" x14ac:dyDescent="0.25">
      <c r="A6" s="4"/>
      <c r="B6" s="2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32"/>
      <c r="B7" s="322" t="s">
        <v>123</v>
      </c>
      <c r="C7" s="299"/>
      <c r="D7" s="299"/>
      <c r="E7" s="299"/>
      <c r="F7" s="299"/>
      <c r="G7" s="299"/>
      <c r="H7" s="299"/>
      <c r="I7" s="299"/>
      <c r="J7" s="299"/>
      <c r="K7" s="318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80</v>
      </c>
      <c r="C9" s="39">
        <v>46120</v>
      </c>
      <c r="D9" s="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81</v>
      </c>
      <c r="C10" s="33" t="s">
        <v>180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82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14"/>
      <c r="B13" s="310" t="s">
        <v>181</v>
      </c>
      <c r="C13" s="299"/>
      <c r="D13" s="299"/>
      <c r="E13" s="299"/>
      <c r="F13" s="299"/>
      <c r="G13" s="299"/>
      <c r="H13" s="4"/>
      <c r="I13" s="4"/>
      <c r="J13" s="4"/>
      <c r="K13" s="18"/>
    </row>
    <row r="14" spans="1:25" x14ac:dyDescent="0.25">
      <c r="A14" s="58"/>
      <c r="B14" s="311" t="s">
        <v>182</v>
      </c>
      <c r="C14" s="299"/>
      <c r="D14" s="299"/>
      <c r="E14" s="299"/>
      <c r="F14" s="299"/>
      <c r="G14" s="299"/>
      <c r="H14" s="4"/>
      <c r="I14" s="4"/>
      <c r="J14" s="4"/>
      <c r="K14" s="18"/>
    </row>
    <row r="15" spans="1:25" ht="49.5" customHeight="1" x14ac:dyDescent="0.25">
      <c r="A15" s="58"/>
      <c r="B15" s="312"/>
      <c r="C15" s="299"/>
      <c r="D15" s="299"/>
      <c r="E15" s="299"/>
      <c r="F15" s="299"/>
      <c r="G15" s="299"/>
      <c r="H15" s="4"/>
      <c r="I15" s="4"/>
      <c r="J15" s="4"/>
      <c r="K15" s="18"/>
    </row>
    <row r="16" spans="1:25" x14ac:dyDescent="0.25">
      <c r="A16" s="4"/>
      <c r="B16" s="17" t="s">
        <v>83</v>
      </c>
      <c r="C16" s="4"/>
      <c r="D16" s="4"/>
      <c r="E16" s="4"/>
      <c r="F16" s="4"/>
      <c r="G16" s="4"/>
      <c r="H16" s="4"/>
      <c r="I16" s="4"/>
      <c r="J16" s="4"/>
      <c r="K16" s="18"/>
      <c r="N16" s="126" t="s">
        <v>185</v>
      </c>
      <c r="O16" s="126">
        <v>5200</v>
      </c>
      <c r="P16" s="126">
        <v>125</v>
      </c>
      <c r="Q16" s="126">
        <f>O16*P16</f>
        <v>650000</v>
      </c>
    </row>
    <row r="17" spans="1:21" ht="15.75" thickBot="1" x14ac:dyDescent="0.3">
      <c r="A17" s="4"/>
      <c r="B17" s="21"/>
      <c r="C17" s="22"/>
      <c r="D17" s="22"/>
      <c r="E17" s="41"/>
      <c r="F17" s="22"/>
      <c r="G17" s="22"/>
      <c r="H17" s="22"/>
      <c r="I17" s="22"/>
      <c r="J17" s="22"/>
      <c r="K17" s="20"/>
      <c r="N17" s="126" t="s">
        <v>186</v>
      </c>
      <c r="Q17" s="126">
        <v>7000</v>
      </c>
    </row>
    <row r="18" spans="1:21" ht="15.75" thickBot="1" x14ac:dyDescent="0.3">
      <c r="A18" s="29"/>
      <c r="B18" s="314" t="s">
        <v>84</v>
      </c>
      <c r="C18" s="313"/>
      <c r="D18" s="313"/>
      <c r="E18" s="119" t="s">
        <v>164</v>
      </c>
      <c r="F18" s="313" t="s">
        <v>122</v>
      </c>
      <c r="G18" s="242"/>
      <c r="H18" s="314" t="s">
        <v>166</v>
      </c>
      <c r="I18" s="242"/>
      <c r="J18" s="314" t="s">
        <v>85</v>
      </c>
      <c r="K18" s="242"/>
      <c r="Q18" s="126">
        <f>SUM(Q16:Q17)</f>
        <v>657000</v>
      </c>
    </row>
    <row r="19" spans="1:21" s="125" customFormat="1" ht="18" customHeight="1" thickBot="1" x14ac:dyDescent="0.3">
      <c r="A19" s="56"/>
      <c r="B19" s="346" t="s">
        <v>187</v>
      </c>
      <c r="C19" s="347"/>
      <c r="D19" s="347"/>
      <c r="E19" s="117">
        <v>650</v>
      </c>
      <c r="F19" s="356">
        <v>5035.68</v>
      </c>
      <c r="G19" s="357"/>
      <c r="H19" s="351">
        <v>130.47</v>
      </c>
      <c r="I19" s="352"/>
      <c r="J19" s="353">
        <f>F19*H19</f>
        <v>657005.16960000002</v>
      </c>
      <c r="K19" s="345"/>
      <c r="N19" s="96"/>
    </row>
    <row r="20" spans="1:21" ht="15.75" customHeight="1" thickBot="1" x14ac:dyDescent="0.3">
      <c r="A20" s="127"/>
      <c r="B20" s="116"/>
      <c r="F20" s="315"/>
      <c r="G20" s="194"/>
      <c r="H20" s="341" t="s">
        <v>124</v>
      </c>
      <c r="I20" s="342"/>
      <c r="J20" s="330">
        <f>(J19)*0.001</f>
        <v>657.00516960000004</v>
      </c>
      <c r="K20" s="331"/>
      <c r="N20" s="96"/>
      <c r="Q20" s="125">
        <f>Q18/P24</f>
        <v>130.46897340577638</v>
      </c>
    </row>
    <row r="21" spans="1:21" ht="15.75" customHeight="1" thickBot="1" x14ac:dyDescent="0.3">
      <c r="A21" s="14"/>
      <c r="B21" s="340"/>
      <c r="C21" s="320"/>
      <c r="D21" s="320"/>
      <c r="E21" s="320"/>
      <c r="F21" s="22"/>
      <c r="G21" s="42"/>
      <c r="H21" s="341" t="s">
        <v>74</v>
      </c>
      <c r="I21" s="342"/>
      <c r="J21" s="338">
        <f t="shared" ref="J21" si="0">SUM(J19:K20)</f>
        <v>657662.17476960004</v>
      </c>
      <c r="K21" s="339"/>
      <c r="N21" s="96"/>
      <c r="Q21" s="125"/>
    </row>
    <row r="22" spans="1:21" ht="15.75" customHeight="1" thickBot="1" x14ac:dyDescent="0.3">
      <c r="A22" s="127"/>
      <c r="B22" s="333"/>
      <c r="C22" s="299"/>
      <c r="D22" s="299"/>
      <c r="E22" s="299"/>
      <c r="F22" s="4"/>
      <c r="G22" s="4"/>
      <c r="H22" s="334"/>
      <c r="I22" s="299"/>
      <c r="J22" s="315"/>
      <c r="K22" s="318"/>
      <c r="N22" s="108"/>
      <c r="O22" s="97"/>
      <c r="Q22" s="125"/>
    </row>
    <row r="23" spans="1:21" ht="15.75" customHeight="1" thickBot="1" x14ac:dyDescent="0.3">
      <c r="A23" s="29"/>
      <c r="B23" s="335" t="s">
        <v>86</v>
      </c>
      <c r="C23" s="244"/>
      <c r="D23" s="27"/>
      <c r="E23" s="27"/>
      <c r="F23" s="27"/>
      <c r="G23" s="27"/>
      <c r="H23" s="27"/>
      <c r="I23" s="27"/>
      <c r="J23" s="336">
        <f>J21</f>
        <v>657662.17476960004</v>
      </c>
      <c r="K23" s="242"/>
      <c r="Q23" s="125"/>
    </row>
    <row r="24" spans="1:21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  <c r="N24" s="126" t="s">
        <v>183</v>
      </c>
      <c r="O24" s="126">
        <v>468</v>
      </c>
      <c r="P24" s="128">
        <f>O24*10.76</f>
        <v>5035.68</v>
      </c>
      <c r="Q24" s="108" t="s">
        <v>184</v>
      </c>
      <c r="S24" s="108"/>
      <c r="T24" s="108"/>
      <c r="U24" s="108"/>
    </row>
    <row r="25" spans="1:21" ht="15.75" customHeight="1" x14ac:dyDescent="0.25">
      <c r="A25" s="35"/>
      <c r="B25" s="343" t="s">
        <v>87</v>
      </c>
      <c r="C25" s="299"/>
      <c r="D25" s="4"/>
      <c r="E25" s="4"/>
      <c r="F25" s="4"/>
      <c r="G25" s="4"/>
      <c r="H25" s="4"/>
      <c r="I25" s="4"/>
      <c r="J25" s="4"/>
      <c r="K25" s="18"/>
      <c r="Q25" s="108"/>
      <c r="R25" s="108"/>
      <c r="S25" s="108"/>
      <c r="T25" s="108"/>
      <c r="U25" s="108"/>
    </row>
    <row r="26" spans="1:21" ht="15.75" customHeight="1" x14ac:dyDescent="0.25">
      <c r="A26" s="4"/>
      <c r="B26" s="17" t="s">
        <v>88</v>
      </c>
      <c r="C26" s="4"/>
      <c r="D26" s="1" t="s">
        <v>134</v>
      </c>
      <c r="E26" s="1"/>
      <c r="F26" s="1"/>
      <c r="G26" s="1"/>
      <c r="H26" s="4"/>
      <c r="I26" s="4"/>
      <c r="J26" s="4"/>
      <c r="K26" s="18"/>
      <c r="Q26" s="108"/>
    </row>
    <row r="27" spans="1:21" ht="15.75" customHeight="1" x14ac:dyDescent="0.25">
      <c r="A27" s="4"/>
      <c r="B27" s="17" t="s">
        <v>73</v>
      </c>
      <c r="C27" s="4"/>
      <c r="D27" s="337">
        <v>68022390</v>
      </c>
      <c r="E27" s="337"/>
      <c r="F27" s="337"/>
      <c r="G27" s="4"/>
      <c r="H27" s="4"/>
      <c r="I27" s="4"/>
      <c r="J27" s="4"/>
      <c r="K27" s="18"/>
      <c r="R27" s="108"/>
    </row>
    <row r="28" spans="1:21" ht="15.75" customHeight="1" x14ac:dyDescent="0.25">
      <c r="A28" s="4"/>
      <c r="B28" s="17" t="s">
        <v>89</v>
      </c>
      <c r="C28" s="4"/>
      <c r="D28" s="1" t="s">
        <v>102</v>
      </c>
      <c r="E28" s="4"/>
      <c r="F28" s="4"/>
      <c r="G28" s="4"/>
      <c r="H28" s="4"/>
      <c r="I28" s="4"/>
      <c r="J28" s="4"/>
      <c r="K28" s="18"/>
    </row>
    <row r="29" spans="1:21" ht="15.75" customHeight="1" x14ac:dyDescent="0.25">
      <c r="A29" s="4"/>
      <c r="B29" s="17" t="s">
        <v>167</v>
      </c>
      <c r="C29" s="4"/>
      <c r="D29" s="120"/>
      <c r="E29" s="4"/>
      <c r="F29" s="4"/>
      <c r="G29" s="4"/>
      <c r="H29" s="4"/>
      <c r="I29" s="4"/>
      <c r="J29" s="4"/>
      <c r="K29" s="18"/>
    </row>
    <row r="30" spans="1:21" ht="15.75" customHeight="1" x14ac:dyDescent="0.25">
      <c r="A30" s="4"/>
      <c r="B30" s="17" t="s">
        <v>90</v>
      </c>
      <c r="C30" s="4"/>
      <c r="D30" s="120"/>
      <c r="E30" s="4"/>
      <c r="F30" s="4"/>
      <c r="G30" s="4"/>
      <c r="H30" s="4"/>
      <c r="I30" s="4"/>
      <c r="J30" s="4"/>
      <c r="K30" s="18"/>
      <c r="Q30" s="109"/>
    </row>
    <row r="31" spans="1:21" ht="15.75" customHeight="1" x14ac:dyDescent="0.25">
      <c r="A31" s="4"/>
      <c r="B31" s="17" t="s">
        <v>91</v>
      </c>
      <c r="C31" s="4"/>
      <c r="D31" s="4"/>
      <c r="E31" s="4"/>
      <c r="F31" s="4"/>
      <c r="G31" s="4"/>
      <c r="H31" s="4"/>
      <c r="I31" s="4"/>
      <c r="J31" s="4"/>
      <c r="K31" s="18"/>
    </row>
    <row r="32" spans="1:21" ht="15.75" customHeight="1" x14ac:dyDescent="0.25">
      <c r="A32" s="4"/>
      <c r="B32" s="17" t="s">
        <v>92</v>
      </c>
      <c r="C32" s="4"/>
      <c r="D32" s="1" t="s">
        <v>97</v>
      </c>
      <c r="E32" s="4"/>
      <c r="F32" s="4"/>
      <c r="G32" s="4"/>
      <c r="H32" s="4"/>
      <c r="I32" s="4"/>
      <c r="J32" s="4"/>
      <c r="K32" s="18"/>
    </row>
    <row r="33" spans="1:16" ht="15.75" customHeight="1" x14ac:dyDescent="0.25">
      <c r="A33" s="4"/>
      <c r="B33" s="17"/>
      <c r="C33" s="4"/>
      <c r="D33" s="1" t="s">
        <v>115</v>
      </c>
      <c r="E33" s="4"/>
      <c r="F33" s="4"/>
      <c r="G33" s="4"/>
      <c r="H33" s="4"/>
      <c r="I33" s="4"/>
      <c r="J33" s="4"/>
      <c r="K33" s="18"/>
    </row>
    <row r="34" spans="1:16" ht="15.75" customHeight="1" x14ac:dyDescent="0.25">
      <c r="A34" s="4"/>
      <c r="B34" s="17"/>
      <c r="C34" s="4"/>
      <c r="D34" s="1" t="s">
        <v>118</v>
      </c>
      <c r="E34" s="1"/>
      <c r="F34" s="4"/>
      <c r="G34" s="4"/>
      <c r="H34" s="4"/>
      <c r="I34" s="4"/>
      <c r="J34" s="4"/>
      <c r="K34" s="18"/>
      <c r="P34" s="97"/>
    </row>
    <row r="35" spans="1:16" ht="15.75" customHeight="1" x14ac:dyDescent="0.25">
      <c r="A35" s="36"/>
      <c r="B35" s="332" t="s">
        <v>119</v>
      </c>
      <c r="C35" s="299"/>
      <c r="D35" s="299"/>
      <c r="E35" s="299"/>
      <c r="F35" s="299"/>
      <c r="G35" s="299"/>
      <c r="H35" s="4"/>
      <c r="I35" s="4"/>
      <c r="J35" s="4"/>
      <c r="K35" s="18"/>
    </row>
    <row r="36" spans="1:16" ht="15.75" customHeight="1" x14ac:dyDescent="0.25">
      <c r="A36" s="36"/>
      <c r="B36" s="332" t="s">
        <v>120</v>
      </c>
      <c r="C36" s="299"/>
      <c r="D36" s="299"/>
      <c r="E36" s="299"/>
      <c r="F36" s="299"/>
      <c r="G36" s="299"/>
      <c r="H36" s="4"/>
      <c r="I36" s="4"/>
      <c r="J36" s="4"/>
      <c r="K36" s="18"/>
    </row>
    <row r="37" spans="1:16" ht="15.75" customHeight="1" x14ac:dyDescent="0.25">
      <c r="A37" s="26"/>
      <c r="B37" s="25" t="s">
        <v>93</v>
      </c>
      <c r="C37" s="37" t="str">
        <f>'input data'!B6</f>
        <v>AD2403260117948</v>
      </c>
      <c r="D37" s="26"/>
      <c r="E37" s="26"/>
      <c r="F37" s="26"/>
      <c r="G37" s="26"/>
      <c r="H37" s="4"/>
      <c r="I37" s="4"/>
      <c r="J37" s="4"/>
      <c r="K37" s="18"/>
    </row>
    <row r="38" spans="1:16" ht="15.75" customHeight="1" x14ac:dyDescent="0.25">
      <c r="A38" s="4"/>
      <c r="B38" s="24" t="s">
        <v>98</v>
      </c>
      <c r="C38" s="4"/>
      <c r="D38" s="4"/>
      <c r="E38" s="4"/>
      <c r="F38" s="4"/>
      <c r="G38" s="4"/>
      <c r="H38" s="4"/>
      <c r="I38" s="4"/>
      <c r="J38" s="4"/>
      <c r="K38" s="18"/>
    </row>
    <row r="39" spans="1:16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6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</row>
    <row r="41" spans="1:16" ht="15.75" customHeight="1" thickBot="1" x14ac:dyDescent="0.3">
      <c r="A41" s="4"/>
      <c r="B41" s="21"/>
      <c r="C41" s="22"/>
      <c r="D41" s="22"/>
      <c r="E41" s="22"/>
      <c r="F41" s="22"/>
      <c r="G41" s="22"/>
      <c r="H41" s="22"/>
      <c r="I41" s="22"/>
      <c r="J41" s="22"/>
      <c r="K41" s="20"/>
    </row>
    <row r="42" spans="1:16" ht="15.75" customHeight="1" x14ac:dyDescent="0.25"/>
    <row r="43" spans="1:16" ht="15.75" customHeight="1" x14ac:dyDescent="0.25"/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2">
    <mergeCell ref="B5:K5"/>
    <mergeCell ref="B1:K2"/>
    <mergeCell ref="R1:V1"/>
    <mergeCell ref="W1:Y1"/>
    <mergeCell ref="B3:K3"/>
    <mergeCell ref="B4:K4"/>
    <mergeCell ref="B19:D19"/>
    <mergeCell ref="F19:G19"/>
    <mergeCell ref="H19:I19"/>
    <mergeCell ref="J19:K19"/>
    <mergeCell ref="B7:K7"/>
    <mergeCell ref="B13:G13"/>
    <mergeCell ref="B14:G15"/>
    <mergeCell ref="B18:D18"/>
    <mergeCell ref="F18:G18"/>
    <mergeCell ref="H18:I18"/>
    <mergeCell ref="J18:K18"/>
    <mergeCell ref="J22:K22"/>
    <mergeCell ref="B23:C23"/>
    <mergeCell ref="J23:K23"/>
    <mergeCell ref="B25:C25"/>
    <mergeCell ref="F20:G20"/>
    <mergeCell ref="H20:I20"/>
    <mergeCell ref="J20:K20"/>
    <mergeCell ref="B21:E21"/>
    <mergeCell ref="H21:I21"/>
    <mergeCell ref="J21:K21"/>
    <mergeCell ref="D27:F27"/>
    <mergeCell ref="B35:G35"/>
    <mergeCell ref="B36:G36"/>
    <mergeCell ref="B22:E22"/>
    <mergeCell ref="H22:I22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company data</vt:lpstr>
      <vt:lpstr>input data</vt:lpstr>
      <vt:lpstr>Invoice rockstone</vt:lpstr>
      <vt:lpstr>Peacking List</vt:lpstr>
      <vt:lpstr>PO</vt:lpstr>
      <vt:lpstr>PO (2)</vt:lpstr>
      <vt:lpstr>PO!Print_Area</vt:lpstr>
      <vt:lpstr>'PO (2)'!Print_Area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2026-04-08T09:36:04Z</cp:lastPrinted>
  <dcterms:created xsi:type="dcterms:W3CDTF">2022-11-23T06:47:43Z</dcterms:created>
  <dcterms:modified xsi:type="dcterms:W3CDTF">2026-04-08T10:29:39Z</dcterms:modified>
</cp:coreProperties>
</file>